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controlesempresarialesltda-my.sharepoint.com/personal/marango_coem_co/Documents/GitHub/COEM/"/>
    </mc:Choice>
  </mc:AlternateContent>
  <xr:revisionPtr revIDLastSave="358" documentId="11_7B0F6A10CFB5B9B3AED9E795B9A4719BFA1CF949" xr6:coauthVersionLast="47" xr6:coauthVersionMax="47" xr10:uidLastSave="{AE31D637-6937-43EA-95D8-F1497F73878D}"/>
  <bookViews>
    <workbookView minimized="1" xWindow="24" yWindow="24" windowWidth="23016" windowHeight="12216" xr2:uid="{00000000-000D-0000-FFFF-FFFF00000000}"/>
  </bookViews>
  <sheets>
    <sheet name="Copa Copilot" sheetId="1" r:id="rId1"/>
    <sheet name="Actividad Semanal" sheetId="2" r:id="rId2"/>
    <sheet name="Estados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2" l="1"/>
  <c r="E1" i="2"/>
  <c r="D1" i="2"/>
  <c r="C1" i="2"/>
  <c r="B1" i="2"/>
</calcChain>
</file>

<file path=xl/sharedStrings.xml><?xml version="1.0" encoding="utf-8"?>
<sst xmlns="http://schemas.openxmlformats.org/spreadsheetml/2006/main" count="69" uniqueCount="46">
  <si>
    <t>Pos</t>
  </si>
  <si>
    <t>Comercial</t>
  </si>
  <si>
    <t>% de cumplimiento</t>
  </si>
  <si>
    <t>Cuota</t>
  </si>
  <si>
    <t>Utilidad Bruta</t>
  </si>
  <si>
    <t>Compromiso</t>
  </si>
  <si>
    <t>Falta</t>
  </si>
  <si>
    <t>ECHEVERRY SANDRA</t>
  </si>
  <si>
    <t>$79.166.667</t>
  </si>
  <si>
    <t>$ 10.812.168</t>
  </si>
  <si>
    <t>$10.812.168</t>
  </si>
  <si>
    <t>-$ 0</t>
  </si>
  <si>
    <t>MENDOZA SALAZAR ROMY VALENTINA</t>
  </si>
  <si>
    <t>$ 7.191.749</t>
  </si>
  <si>
    <t>$35.000.000</t>
  </si>
  <si>
    <t>-$ 27.808.251</t>
  </si>
  <si>
    <t>RODRIGUEZ CONTRERAS JENIFFER LORENA</t>
  </si>
  <si>
    <t>$16.666.667</t>
  </si>
  <si>
    <t>$ 6.309.992</t>
  </si>
  <si>
    <t>$7.500.000</t>
  </si>
  <si>
    <t>-$ 1.190.008</t>
  </si>
  <si>
    <t>ESPINOSA ORTIZ DEISON FERNANDO</t>
  </si>
  <si>
    <t>$0</t>
  </si>
  <si>
    <t>$ 67.217</t>
  </si>
  <si>
    <t>$67.217</t>
  </si>
  <si>
    <t>$ 0</t>
  </si>
  <si>
    <t>NN OCCIDE_SMC_001 1</t>
  </si>
  <si>
    <t>$25.000.000</t>
  </si>
  <si>
    <t>NN OCCIDE_ENTER_001 1</t>
  </si>
  <si>
    <t>NN OCCIDE_SMC_001 2</t>
  </si>
  <si>
    <t>COLLAZOS PRIETO JUAN FELIPE</t>
  </si>
  <si>
    <t>CORREA CORPUS WILLIAM ERNESTO</t>
  </si>
  <si>
    <t>$54.166.667</t>
  </si>
  <si>
    <t>$119.500.000</t>
  </si>
  <si>
    <t>-$ 119.500.000</t>
  </si>
  <si>
    <t>NN OCCIDE_CORPO_001 1</t>
  </si>
  <si>
    <t>$58.333.333</t>
  </si>
  <si>
    <t>CHARRY OCHOA VIVIANA ANDREA</t>
  </si>
  <si>
    <t>-$ 112.956</t>
  </si>
  <si>
    <t>Semana</t>
  </si>
  <si>
    <t>Semana 1</t>
  </si>
  <si>
    <t>Semana 2</t>
  </si>
  <si>
    <t>Semana 3</t>
  </si>
  <si>
    <t>Clasificado</t>
  </si>
  <si>
    <t>En Carrera</t>
  </si>
  <si>
    <t>Valle de la oportunidad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</si>
</sst>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b/>
      <sz val="12"/>
      <color rgb="FFFFD700"/>
      <name val="Calibri"/>
    </font>
    <font>
      <b/>
      <sz val="11"/>
      <color theme="1"/>
      <name val="Calibri"/>
      <family val="2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b/>
      <sz val="12"/>
      <color rgb="FFFFD7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A472A"/>
      </patternFill>
    </fill>
    <fill>
      <patternFill patternType="solid">
        <fgColor rgb="FFD0DE82"/>
        <bgColor rgb="FF000000"/>
      </patternFill>
    </fill>
    <fill>
      <patternFill patternType="solid">
        <fgColor rgb="FFE5E483"/>
        <bgColor rgb="FF000000"/>
      </patternFill>
    </fill>
    <fill>
      <patternFill patternType="solid">
        <fgColor rgb="FF63BE7B"/>
        <bgColor rgb="FF000000"/>
      </patternFill>
    </fill>
    <fill>
      <patternFill patternType="solid">
        <fgColor rgb="FFF8696B"/>
        <bgColor rgb="FF000000"/>
      </patternFill>
    </fill>
  </fills>
  <borders count="3">
    <border>
      <left/>
      <right/>
      <top/>
      <bottom/>
      <diagonal/>
    </border>
    <border>
      <left style="thin">
        <color rgb="FFFFD700"/>
      </left>
      <right style="thin">
        <color rgb="FFFFD700"/>
      </right>
      <top style="thin">
        <color rgb="FFFFD700"/>
      </top>
      <bottom style="thin">
        <color rgb="FFFFD700"/>
      </bottom>
      <diagonal/>
    </border>
    <border>
      <left style="thin">
        <color rgb="FFFFD700"/>
      </left>
      <right style="thin">
        <color rgb="FFFFD700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0" xfId="0" applyFont="1"/>
    <xf numFmtId="0" fontId="5" fillId="0" borderId="0" xfId="0" applyFont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6" fillId="0" borderId="0" xfId="0" applyFont="1" applyFill="1" applyBorder="1" applyAlignment="1"/>
    <xf numFmtId="10" fontId="6" fillId="3" borderId="0" xfId="0" applyNumberFormat="1" applyFont="1" applyFill="1" applyBorder="1" applyAlignment="1"/>
    <xf numFmtId="10" fontId="6" fillId="4" borderId="0" xfId="0" applyNumberFormat="1" applyFont="1" applyFill="1" applyBorder="1" applyAlignment="1"/>
    <xf numFmtId="0" fontId="7" fillId="0" borderId="0" xfId="0" quotePrefix="1" applyFont="1" applyFill="1" applyBorder="1" applyAlignment="1"/>
    <xf numFmtId="10" fontId="6" fillId="5" borderId="0" xfId="0" applyNumberFormat="1" applyFont="1" applyFill="1" applyBorder="1" applyAlignment="1"/>
    <xf numFmtId="10" fontId="6" fillId="6" borderId="0" xfId="0" applyNumberFormat="1" applyFont="1" applyFill="1" applyBorder="1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"/>
  <sheetViews>
    <sheetView tabSelected="1" workbookViewId="0">
      <selection activeCell="B2" sqref="B2:G12"/>
    </sheetView>
  </sheetViews>
  <sheetFormatPr defaultColWidth="9.140625" defaultRowHeight="14.45"/>
  <cols>
    <col min="1" max="1" width="6" customWidth="1"/>
    <col min="2" max="2" width="36.85546875" bestFit="1" customWidth="1"/>
    <col min="3" max="3" width="19.140625" bestFit="1" customWidth="1"/>
    <col min="4" max="4" width="11.5703125" bestFit="1" customWidth="1"/>
    <col min="5" max="5" width="14.140625" bestFit="1" customWidth="1"/>
    <col min="6" max="6" width="15" customWidth="1"/>
    <col min="7" max="7" width="13.28515625" bestFit="1" customWidth="1"/>
  </cols>
  <sheetData>
    <row r="1" spans="1:7" ht="15.6">
      <c r="A1" s="1" t="s">
        <v>0</v>
      </c>
      <c r="B1" s="1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15">
      <c r="A2" s="4">
        <v>1</v>
      </c>
      <c r="B2" s="7" t="s">
        <v>7</v>
      </c>
      <c r="C2" s="8">
        <v>0.1366</v>
      </c>
      <c r="D2" s="7" t="s">
        <v>8</v>
      </c>
      <c r="E2" s="7" t="s">
        <v>9</v>
      </c>
      <c r="F2" s="7" t="s">
        <v>10</v>
      </c>
      <c r="G2" s="10" t="s">
        <v>11</v>
      </c>
    </row>
    <row r="3" spans="1:7" ht="15">
      <c r="A3" s="4">
        <v>2</v>
      </c>
      <c r="B3" s="7" t="s">
        <v>12</v>
      </c>
      <c r="C3" s="9">
        <v>9.0800000000000006E-2</v>
      </c>
      <c r="D3" s="7" t="s">
        <v>8</v>
      </c>
      <c r="E3" s="7" t="s">
        <v>13</v>
      </c>
      <c r="F3" s="7" t="s">
        <v>14</v>
      </c>
      <c r="G3" s="10" t="s">
        <v>15</v>
      </c>
    </row>
    <row r="4" spans="1:7" ht="15">
      <c r="A4" s="4">
        <v>3</v>
      </c>
      <c r="B4" s="7" t="s">
        <v>16</v>
      </c>
      <c r="C4" s="11">
        <v>0.37859999999999999</v>
      </c>
      <c r="D4" s="7" t="s">
        <v>17</v>
      </c>
      <c r="E4" s="7" t="s">
        <v>18</v>
      </c>
      <c r="F4" s="7" t="s">
        <v>19</v>
      </c>
      <c r="G4" s="10" t="s">
        <v>20</v>
      </c>
    </row>
    <row r="5" spans="1:7" ht="15">
      <c r="A5" s="4">
        <v>4</v>
      </c>
      <c r="B5" s="7" t="s">
        <v>21</v>
      </c>
      <c r="C5" s="7"/>
      <c r="D5" s="7" t="s">
        <v>22</v>
      </c>
      <c r="E5" s="7" t="s">
        <v>23</v>
      </c>
      <c r="F5" s="7" t="s">
        <v>24</v>
      </c>
      <c r="G5" s="7" t="s">
        <v>25</v>
      </c>
    </row>
    <row r="6" spans="1:7" ht="15">
      <c r="A6" s="4">
        <v>5</v>
      </c>
      <c r="B6" s="7" t="s">
        <v>26</v>
      </c>
      <c r="C6" s="12">
        <v>0</v>
      </c>
      <c r="D6" s="7" t="s">
        <v>27</v>
      </c>
      <c r="E6" s="7" t="s">
        <v>25</v>
      </c>
      <c r="F6" s="7" t="s">
        <v>22</v>
      </c>
      <c r="G6" s="7" t="s">
        <v>25</v>
      </c>
    </row>
    <row r="7" spans="1:7" ht="15">
      <c r="A7" s="4">
        <v>6</v>
      </c>
      <c r="B7" s="7" t="s">
        <v>28</v>
      </c>
      <c r="C7" s="12">
        <v>0</v>
      </c>
      <c r="D7" s="7" t="s">
        <v>8</v>
      </c>
      <c r="E7" s="7" t="s">
        <v>25</v>
      </c>
      <c r="F7" s="7" t="s">
        <v>22</v>
      </c>
      <c r="G7" s="7" t="s">
        <v>25</v>
      </c>
    </row>
    <row r="8" spans="1:7" ht="15">
      <c r="A8" s="4">
        <v>7</v>
      </c>
      <c r="B8" s="7" t="s">
        <v>29</v>
      </c>
      <c r="C8" s="7"/>
      <c r="D8" s="7" t="s">
        <v>22</v>
      </c>
      <c r="E8" s="7" t="s">
        <v>25</v>
      </c>
      <c r="F8" s="7" t="s">
        <v>22</v>
      </c>
      <c r="G8" s="7" t="s">
        <v>25</v>
      </c>
    </row>
    <row r="9" spans="1:7" ht="15">
      <c r="A9" s="4">
        <v>8</v>
      </c>
      <c r="B9" s="7" t="s">
        <v>30</v>
      </c>
      <c r="C9" s="7"/>
      <c r="D9" s="7" t="s">
        <v>22</v>
      </c>
      <c r="E9" s="7" t="s">
        <v>25</v>
      </c>
      <c r="F9" s="7" t="s">
        <v>22</v>
      </c>
      <c r="G9" s="7" t="s">
        <v>25</v>
      </c>
    </row>
    <row r="10" spans="1:7" ht="15">
      <c r="A10" s="4">
        <v>9</v>
      </c>
      <c r="B10" s="7" t="s">
        <v>31</v>
      </c>
      <c r="C10" s="12">
        <v>0</v>
      </c>
      <c r="D10" s="7" t="s">
        <v>32</v>
      </c>
      <c r="E10" s="7" t="s">
        <v>25</v>
      </c>
      <c r="F10" s="7" t="s">
        <v>33</v>
      </c>
      <c r="G10" s="10" t="s">
        <v>34</v>
      </c>
    </row>
    <row r="11" spans="1:7" ht="15">
      <c r="A11" s="4">
        <v>10</v>
      </c>
      <c r="B11" s="7" t="s">
        <v>35</v>
      </c>
      <c r="C11" s="12">
        <v>0</v>
      </c>
      <c r="D11" s="7" t="s">
        <v>36</v>
      </c>
      <c r="E11" s="7" t="s">
        <v>25</v>
      </c>
      <c r="F11" s="7" t="s">
        <v>22</v>
      </c>
      <c r="G11" s="7" t="s">
        <v>25</v>
      </c>
    </row>
    <row r="12" spans="1:7" ht="15">
      <c r="A12" s="4">
        <v>11</v>
      </c>
      <c r="B12" s="7" t="s">
        <v>37</v>
      </c>
      <c r="C12" s="7"/>
      <c r="D12" s="7" t="s">
        <v>22</v>
      </c>
      <c r="E12" s="10" t="s">
        <v>38</v>
      </c>
      <c r="F12" s="7" t="s">
        <v>22</v>
      </c>
      <c r="G12" s="10" t="s">
        <v>38</v>
      </c>
    </row>
  </sheetData>
  <phoneticPr fontId="4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"/>
  <sheetViews>
    <sheetView workbookViewId="0">
      <selection activeCell="D20" sqref="D20"/>
    </sheetView>
  </sheetViews>
  <sheetFormatPr defaultColWidth="9.140625" defaultRowHeight="14.45"/>
  <cols>
    <col min="1" max="1" width="10.5703125" customWidth="1"/>
    <col min="2" max="2" width="15.42578125" bestFit="1" customWidth="1"/>
    <col min="3" max="3" width="14.85546875" bestFit="1" customWidth="1"/>
    <col min="4" max="5" width="17.140625" bestFit="1" customWidth="1"/>
    <col min="6" max="6" width="7" bestFit="1" customWidth="1"/>
  </cols>
  <sheetData>
    <row r="1" spans="1:6" ht="15.6">
      <c r="A1" s="1" t="s">
        <v>39</v>
      </c>
      <c r="B1" s="1" t="str">
        <f>'Copa Copilot'!B2</f>
        <v>ECHEVERRY SANDRA</v>
      </c>
      <c r="C1" s="1" t="str">
        <f>'Copa Copilot'!B3</f>
        <v>MENDOZA SALAZAR ROMY VALENTINA</v>
      </c>
      <c r="D1" s="1" t="str">
        <f>'Copa Copilot'!B4</f>
        <v>RODRIGUEZ CONTRERAS JENIFFER LORENA</v>
      </c>
      <c r="E1" s="1" t="str">
        <f>'Copa Copilot'!B5</f>
        <v>ESPINOSA ORTIZ DEISON FERNANDO</v>
      </c>
      <c r="F1" s="1" t="e">
        <f>'Copa Copilot'!#REF!</f>
        <v>#REF!</v>
      </c>
    </row>
    <row r="2" spans="1:6">
      <c r="A2" s="2" t="s">
        <v>40</v>
      </c>
      <c r="B2" s="2">
        <v>0</v>
      </c>
      <c r="C2" s="2">
        <v>0</v>
      </c>
      <c r="D2" s="2">
        <v>0</v>
      </c>
      <c r="E2" s="2">
        <v>0</v>
      </c>
      <c r="F2" s="2">
        <v>0</v>
      </c>
    </row>
    <row r="3" spans="1:6">
      <c r="A3" s="2" t="s">
        <v>41</v>
      </c>
      <c r="B3" s="2">
        <v>0</v>
      </c>
      <c r="C3" s="2">
        <v>0</v>
      </c>
      <c r="D3" s="2">
        <v>0</v>
      </c>
      <c r="E3" s="2">
        <v>0</v>
      </c>
      <c r="F3" s="2">
        <v>0</v>
      </c>
    </row>
    <row r="4" spans="1:6">
      <c r="A4" s="2" t="s">
        <v>42</v>
      </c>
      <c r="B4" s="2">
        <v>0</v>
      </c>
      <c r="C4" s="2">
        <v>0</v>
      </c>
      <c r="D4" s="2">
        <v>0</v>
      </c>
      <c r="E4" s="2">
        <v>0</v>
      </c>
      <c r="F4" s="2">
        <v>0</v>
      </c>
    </row>
    <row r="8" spans="1:6">
      <c r="D8" s="3"/>
    </row>
  </sheetData>
  <phoneticPr fontId="4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B92DB-9C5C-437E-84B0-C727C5D5C893}">
  <dimension ref="A1:A3"/>
  <sheetViews>
    <sheetView workbookViewId="0">
      <selection activeCell="C28" sqref="C28"/>
    </sheetView>
  </sheetViews>
  <sheetFormatPr defaultColWidth="11.42578125" defaultRowHeight="14.45"/>
  <cols>
    <col min="1" max="1" width="19.85546875" bestFit="1" customWidth="1"/>
  </cols>
  <sheetData>
    <row r="1" spans="1:1">
      <c r="A1" t="s">
        <v>43</v>
      </c>
    </row>
    <row r="2" spans="1:1">
      <c r="A2" t="s">
        <v>44</v>
      </c>
    </row>
    <row r="3" spans="1:1">
      <c r="A3" t="s">
        <v>45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Usuario invitado</cp:lastModifiedBy>
  <cp:revision/>
  <dcterms:created xsi:type="dcterms:W3CDTF">2026-05-26T20:06:50Z</dcterms:created>
  <dcterms:modified xsi:type="dcterms:W3CDTF">2026-07-28T16:29:05Z</dcterms:modified>
  <cp:category/>
  <cp:contentStatus/>
</cp:coreProperties>
</file>