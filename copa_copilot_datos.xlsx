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488" documentId="11_7B0F6A10CFB5B9B3AED9E795B9A4719BFA1CF949" xr6:coauthVersionLast="47" xr6:coauthVersionMax="47" xr10:uidLastSave="{A283316C-6BD9-475B-AD0E-514F280AE1C1}"/>
  <bookViews>
    <workbookView xWindow="-108" yWindow="-108" windowWidth="23256" windowHeight="12456" activeTab="4" xr2:uid="{00000000-000D-0000-FFFF-FFFF00000000}"/>
  </bookViews>
  <sheets>
    <sheet name="Copa Copilot" sheetId="1" r:id="rId1"/>
    <sheet name="Actividad Semanal" sheetId="2" r:id="rId2"/>
    <sheet name="Estados" sheetId="3" r:id="rId3"/>
    <sheet name="Dominios Acumulado" sheetId="4" r:id="rId4"/>
    <sheet name="Dominio Me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<sst xmlns="http://schemas.openxmlformats.org/spreadsheetml/2006/main" count="79" uniqueCount="45">
  <si>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</si>
  <si>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</si>
  <si>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</si>
  <si>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</si>
  <si>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</si>
  <si>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</si>
  <si>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</si>
  <si>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</si>
  <si>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</si>
  <si>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</si>
  <si>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</si>
  <si>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OCCIDE_CORPO_001 1</t>
  </si>
  <si>
    <t>NN OCCIDE_SMC_001 1</t>
  </si>
  <si>
    <t>NN OCCIDE_ENTER_001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</si>
  <si>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</si>
  <si>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</si>
  <si>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</si>
  <si>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</si>
  <si>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</si>
  <si>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</si>
  <si>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</si>
  <si>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</si>
  <si>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</si>
  <si>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</si>
  <si>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</si>
  <si>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</si>
  <si>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Clasificado</t>
  </si>
  <si>
    <t>En Carrera</t>
  </si>
  <si>
    <t>Valle de la oportunidad</t>
  </si>
  <si>
    <t>Etiquetas de fila</t>
  </si>
  <si>
    <t>Volumen</t>
  </si>
  <si>
    <t>% UB</t>
  </si>
  <si>
    <t>Y to Y Ub</t>
  </si>
  <si>
    <t>VALLE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</si>
  <si>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</si>
  <si>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</si>
  <si>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</si>
  <si>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</si>
  <si>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</si>
  <si>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</si>
  <si>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</si>
  <si>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</si>
  <si>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NO DOMAIN</t>
  </si>
  <si>
    <t>DIGITAL TRANSFORMATION</t>
  </si>
  <si>
    <t>Total VALLE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</si>
</sst>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\ #,##0;[Red]\-&quot;$&quot;\ #,##0"/>
    <numFmt numFmtId="42" formatCode="_-&quot;$&quot;\ * #,##0_-;\-&quot;$&quot;\ * #,##0_-;_-&quot;$&quot;\ * &quot;-&quot;_-;_-@_-"/>
    <numFmt numFmtId="164" formatCode="_-* #,##0\ &quot;€&quot;_-;\-* #,##0\ &quot;€&quot;_-;_-* &quot;-&quot;\ &quot;€&quot;_-;_-@_-"/>
    <numFmt numFmtId="165" formatCode="&quot;$&quot;#,##0"/>
    <numFmt numFmtId="166" formatCode="&quot;$&quot;#,##0;[Red]\-&quot;$&quot;#,##0"/>
    <numFmt numFmtId="167" formatCode="&quot;$&quot;\ #,##0"/>
    <numFmt numFmtId="168" formatCode="_-&quot;$&quot;* #,##0.00_-;\-&quot;$&quot;* #,##0.00_-;_-&quot;$&quot;* &quot;-&quot;??_-;_-@_-"/>
  </numFmts>
  <fonts count="9" x14ac:knownFonts="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6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166" fontId="5" fillId="0" borderId="0" xfId="0" applyNumberFormat="1" applyFont="1"/>
    <xf numFmtId="0" fontId="1" fillId="2" borderId="2" xfId="0" applyFont="1" applyFill="1" applyBorder="1" applyAlignment="1">
      <alignment horizontal="center" vertical="center"/>
    </xf>
    <xf numFmtId="0" fontId="0" fillId="4" borderId="0" xfId="0" applyFill="1" applyAlignment="1">
      <alignment horizontal="left"/>
    </xf>
    <xf numFmtId="167" fontId="0" fillId="4" borderId="0" xfId="0" applyNumberFormat="1" applyFill="1"/>
    <xf numFmtId="3" fontId="0" fillId="4" borderId="0" xfId="0" applyNumberFormat="1" applyFill="1"/>
    <xf numFmtId="0" fontId="0" fillId="4" borderId="0" xfId="0" applyFill="1"/>
    <xf numFmtId="166" fontId="7" fillId="4" borderId="0" xfId="0" applyNumberFormat="1" applyFont="1" applyFill="1"/>
    <xf numFmtId="0" fontId="0" fillId="0" borderId="0" xfId="0" applyAlignment="1">
      <alignment horizontal="left" indent="1"/>
    </xf>
    <xf numFmtId="167" fontId="0" fillId="0" borderId="0" xfId="0" applyNumberFormat="1"/>
    <xf numFmtId="3" fontId="0" fillId="0" borderId="0" xfId="0" applyNumberFormat="1"/>
    <xf numFmtId="0" fontId="0" fillId="5" borderId="0" xfId="0" applyFill="1" applyAlignment="1">
      <alignment horizontal="left"/>
    </xf>
    <xf numFmtId="167" fontId="0" fillId="5" borderId="0" xfId="0" applyNumberFormat="1" applyFill="1"/>
    <xf numFmtId="3" fontId="0" fillId="5" borderId="0" xfId="0" applyNumberFormat="1" applyFill="1"/>
    <xf numFmtId="166" fontId="7" fillId="5" borderId="0" xfId="0" applyNumberFormat="1" applyFont="1" applyFill="1"/>
    <xf numFmtId="164" fontId="7" fillId="6" borderId="0" xfId="1" applyFont="1" applyFill="1" applyAlignment="1">
      <alignment horizontal="center" vertical="center"/>
    </xf>
    <xf numFmtId="0" fontId="8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 vertical="center" wrapText="1"/>
    </xf>
    <xf numFmtId="10" fontId="8" fillId="0" borderId="0" xfId="0" applyNumberFormat="1" applyFont="1"/>
    <xf numFmtId="10" fontId="8" fillId="5" borderId="0" xfId="0" applyNumberFormat="1" applyFont="1" applyFill="1"/>
    <xf numFmtId="0" fontId="7" fillId="7" borderId="0" xfId="0" applyFont="1" applyFill="1" applyAlignment="1">
      <alignment horizontal="center"/>
    </xf>
    <xf numFmtId="0" fontId="7" fillId="7" borderId="0" xfId="0" applyFont="1" applyFill="1" applyAlignment="1">
      <alignment horizontal="center" vertical="center" wrapText="1"/>
    </xf>
    <xf numFmtId="42" fontId="7" fillId="7" borderId="0" xfId="3" applyFont="1" applyFill="1" applyAlignment="1">
      <alignment horizontal="center" vertical="center"/>
    </xf>
    <xf numFmtId="10" fontId="0" fillId="5" borderId="0" xfId="0" applyNumberFormat="1" applyFill="1"/>
  </cellXfs>
  <cellStyles count="5">
    <cellStyle name="Moneda [0]" xfId="1" builtinId="7"/>
    <cellStyle name="Moneda [0] 2" xfId="3" xr:uid="{0CCB16E3-81C2-4951-B834-94F35D3AC9B1}"/>
    <cellStyle name="Moneda 2" xfId="2" xr:uid="{E3481F5F-7FEF-4617-8D16-A7A96E887278}"/>
    <cellStyle name="Moneda 3" xfId="4" xr:uid="{F307236A-65B4-4AB6-879A-D24F4D74FE5A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workbookViewId="0">
      <selection activeCell="J6" sqref="J6"/>
    </sheetView>
  </sheetViews>
  <sheetFormatPr baseColWidth="10" defaultColWidth="9.21875" defaultRowHeight="14.4" x14ac:dyDescent="0.3"/>
  <cols>
    <col min="1" max="1" width="6" customWidth="1"/>
    <col min="2" max="2" width="36.77734375" bestFit="1" customWidth="1"/>
    <col min="3" max="3" width="19.21875" bestFit="1" customWidth="1"/>
    <col min="4" max="4" width="11.5546875" bestFit="1" customWidth="1"/>
    <col min="5" max="5" width="14.21875" bestFit="1" customWidth="1"/>
    <col min="6" max="6" width="13.21875" bestFit="1" customWidth="1"/>
    <col min="7" max="7" width="17.21875" customWidth="1"/>
  </cols>
  <sheetData>
    <row r="1" spans="1:7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0" t="s">
        <v>6</v>
      </c>
    </row>
    <row r="2" spans="1:7" x14ac:dyDescent="0.3">
      <c r="A2" s="2">
        <v>1</v>
      </c>
      <c r="B2" s="5" t="s">
        <v>7</v>
      </c>
      <c r="C2" s="4">
        <v>2.2860202013538915</v>
      </c>
      <c r="D2" s="6">
        <v>54166666.666665591</v>
      </c>
      <c r="E2" s="3">
        <v>123826094.24000072</v>
      </c>
      <c r="F2" s="7">
        <v>123826094.24000072</v>
      </c>
      <c r="G2" s="3">
        <v>0</v>
      </c>
    </row>
    <row r="3" spans="1:7" x14ac:dyDescent="0.3">
      <c r="A3" s="2">
        <v>2</v>
      </c>
      <c r="B3" s="5" t="s">
        <v>8</v>
      </c>
      <c r="C3" s="4">
        <v>0.639637767600018</v>
      </c>
      <c r="D3" s="6">
        <v>16666666.6666662</v>
      </c>
      <c r="E3" s="3">
        <v>10660629.459999993</v>
      </c>
      <c r="F3" s="7">
        <v>10660629.459999993</v>
      </c>
      <c r="G3" s="3">
        <v>0</v>
      </c>
    </row>
    <row r="4" spans="1:7" x14ac:dyDescent="0.3">
      <c r="A4" s="2">
        <v>3</v>
      </c>
      <c r="B4" s="5" t="s">
        <v>9</v>
      </c>
      <c r="C4" s="4">
        <v>0.52079148189474245</v>
      </c>
      <c r="D4" s="6">
        <v>79166666.666665807</v>
      </c>
      <c r="E4" s="3">
        <v>41229325.649999991</v>
      </c>
      <c r="F4" s="7">
        <v>41229325.649999991</v>
      </c>
      <c r="G4" s="3">
        <v>0</v>
      </c>
    </row>
    <row r="5" spans="1:7" x14ac:dyDescent="0.3">
      <c r="A5" s="2">
        <v>4</v>
      </c>
      <c r="B5" s="5" t="s">
        <v>10</v>
      </c>
      <c r="C5" s="4">
        <v>0.13657475911579028</v>
      </c>
      <c r="D5" s="6">
        <v>79166666.666666195</v>
      </c>
      <c r="E5" s="3">
        <v>10812168.430000007</v>
      </c>
      <c r="F5" s="7">
        <v>10812168.430000007</v>
      </c>
      <c r="G5" s="3">
        <v>0</v>
      </c>
    </row>
    <row r="6" spans="1:7" x14ac:dyDescent="0.3">
      <c r="A6" s="2">
        <v>5</v>
      </c>
      <c r="B6" s="5" t="s">
        <v>11</v>
      </c>
      <c r="C6" s="4">
        <v>0</v>
      </c>
      <c r="D6" s="6">
        <v>58333333.333329804</v>
      </c>
      <c r="E6" s="3">
        <v>0</v>
      </c>
      <c r="F6" s="7">
        <v>0</v>
      </c>
      <c r="G6" s="3">
        <v>0</v>
      </c>
    </row>
    <row r="7" spans="1:7" x14ac:dyDescent="0.3">
      <c r="A7" s="2">
        <v>6</v>
      </c>
      <c r="B7" s="5" t="s">
        <v>12</v>
      </c>
      <c r="C7" s="4">
        <v>0</v>
      </c>
      <c r="D7" s="6">
        <v>25000000.000000104</v>
      </c>
      <c r="E7" s="3">
        <v>0</v>
      </c>
      <c r="F7" s="7">
        <v>0</v>
      </c>
      <c r="G7" s="3">
        <v>0</v>
      </c>
    </row>
    <row r="8" spans="1:7" x14ac:dyDescent="0.3">
      <c r="A8" s="2">
        <v>7</v>
      </c>
      <c r="B8" s="5" t="s">
        <v>13</v>
      </c>
      <c r="C8" s="4">
        <v>0</v>
      </c>
      <c r="D8" s="6">
        <v>79166666.666666195</v>
      </c>
      <c r="E8" s="3">
        <v>0</v>
      </c>
      <c r="F8" s="7">
        <v>0</v>
      </c>
      <c r="G8" s="3">
        <v>0</v>
      </c>
    </row>
    <row r="9" spans="1:7" x14ac:dyDescent="0.3">
      <c r="A9" s="2">
        <v>8</v>
      </c>
      <c r="B9" s="5" t="s">
        <v>14</v>
      </c>
      <c r="C9" s="4"/>
      <c r="D9" s="6">
        <v>0</v>
      </c>
      <c r="E9" s="3">
        <v>0</v>
      </c>
      <c r="F9" s="7">
        <v>0</v>
      </c>
      <c r="G9" s="3">
        <v>0</v>
      </c>
    </row>
    <row r="10" spans="1:7" x14ac:dyDescent="0.3">
      <c r="A10" s="2">
        <v>9</v>
      </c>
      <c r="B10" s="5" t="s">
        <v>15</v>
      </c>
      <c r="C10" s="4"/>
      <c r="D10" s="6">
        <v>0</v>
      </c>
      <c r="E10" s="3">
        <v>0</v>
      </c>
      <c r="F10" s="7">
        <v>0</v>
      </c>
      <c r="G10" s="3">
        <v>0</v>
      </c>
    </row>
    <row r="11" spans="1:7" x14ac:dyDescent="0.3">
      <c r="A11" s="2">
        <v>10</v>
      </c>
      <c r="B11" t="s">
        <v>16</v>
      </c>
      <c r="D11">
        <v>0</v>
      </c>
      <c r="E11">
        <v>-112955.9999999993</v>
      </c>
      <c r="F11" s="7">
        <v>-112955.9999999993</v>
      </c>
      <c r="G11" s="3">
        <v>0</v>
      </c>
    </row>
    <row r="12" spans="1:7" x14ac:dyDescent="0.3">
      <c r="A12" s="2">
        <v>11</v>
      </c>
      <c r="B12" t="s">
        <v>17</v>
      </c>
      <c r="D12">
        <v>0</v>
      </c>
      <c r="E12">
        <v>0</v>
      </c>
      <c r="F12" s="7">
        <v>0</v>
      </c>
      <c r="G12" s="3">
        <v>0</v>
      </c>
    </row>
    <row r="13" spans="1:7" x14ac:dyDescent="0.3">
      <c r="B13" t="s">
        <v>18</v>
      </c>
      <c r="D13">
        <v>0</v>
      </c>
      <c r="E13">
        <v>67216.850000000093</v>
      </c>
      <c r="F13" s="7">
        <v>67216.850000000093</v>
      </c>
      <c r="G13" s="3">
        <v>0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>
      <selection activeCell="D2" sqref="D2"/>
    </sheetView>
  </sheetViews>
  <sheetFormatPr baseColWidth="10" defaultColWidth="9.21875" defaultRowHeight="14.4" x14ac:dyDescent="0.3"/>
  <cols>
    <col min="1" max="1" width="41.21875" bestFit="1" customWidth="1"/>
    <col min="2" max="2" width="17" customWidth="1"/>
    <col min="3" max="3" width="21.21875" customWidth="1"/>
    <col min="4" max="4" width="20" customWidth="1"/>
    <col min="5" max="5" width="16.77734375" customWidth="1"/>
  </cols>
  <sheetData>
    <row r="1" spans="1:5" x14ac:dyDescent="0.3">
      <c r="A1" s="8" t="s">
        <v>19</v>
      </c>
      <c r="B1" s="8" t="s">
        <v>20</v>
      </c>
      <c r="C1" s="8" t="s">
        <v>3</v>
      </c>
      <c r="D1" s="8" t="s">
        <v>4</v>
      </c>
      <c r="E1" s="8" t="s">
        <v>21</v>
      </c>
    </row>
    <row r="2" spans="1:5" x14ac:dyDescent="0.3">
      <c r="A2" s="5" t="s">
        <v>8</v>
      </c>
      <c r="B2" s="4">
        <v>1.5840443821714993</v>
      </c>
      <c r="C2" s="6">
        <v>58333333.333330736</v>
      </c>
      <c r="D2" s="3">
        <v>92402588.959999919</v>
      </c>
      <c r="E2" s="7">
        <v>34069255.626669183</v>
      </c>
    </row>
    <row r="3" spans="1:5" x14ac:dyDescent="0.3">
      <c r="A3" s="5" t="s">
        <v>9</v>
      </c>
      <c r="B3" s="4">
        <v>0.75300711007896193</v>
      </c>
      <c r="C3" s="6">
        <v>506666666.66665697</v>
      </c>
      <c r="D3" s="3">
        <v>381523602.43999887</v>
      </c>
      <c r="E3" s="7">
        <v>-125143064.22665811</v>
      </c>
    </row>
    <row r="4" spans="1:5" x14ac:dyDescent="0.3">
      <c r="A4" s="5" t="s">
        <v>7</v>
      </c>
      <c r="B4" s="4">
        <v>0.55256861835578641</v>
      </c>
      <c r="C4" s="6">
        <v>346666666.66665584</v>
      </c>
      <c r="D4" s="3">
        <v>191557121.02999973</v>
      </c>
      <c r="E4" s="7">
        <v>-155109545.63665611</v>
      </c>
    </row>
    <row r="5" spans="1:5" x14ac:dyDescent="0.3">
      <c r="A5" s="5" t="s">
        <v>10</v>
      </c>
      <c r="B5" s="4">
        <v>0.3481822242631627</v>
      </c>
      <c r="C5" s="6">
        <v>506666666.66665971</v>
      </c>
      <c r="D5" s="3">
        <v>176412326.96000099</v>
      </c>
      <c r="E5" s="7">
        <v>-330254339.70665872</v>
      </c>
    </row>
    <row r="6" spans="1:5" x14ac:dyDescent="0.3">
      <c r="A6" s="5" t="s">
        <v>18</v>
      </c>
      <c r="B6" s="4">
        <v>0.2172699243703719</v>
      </c>
      <c r="C6" s="6">
        <v>134999999.99999905</v>
      </c>
      <c r="D6" s="3">
        <v>29331439.790000021</v>
      </c>
      <c r="E6" s="7">
        <v>-105668560.20999902</v>
      </c>
    </row>
    <row r="7" spans="1:5" x14ac:dyDescent="0.3">
      <c r="A7" s="5" t="s">
        <v>14</v>
      </c>
      <c r="B7" s="4">
        <v>0.21633626109805201</v>
      </c>
      <c r="C7" s="6">
        <v>127499999.99999247</v>
      </c>
      <c r="D7" s="3">
        <v>27582873.289999992</v>
      </c>
      <c r="E7" s="7">
        <v>-99917126.709992483</v>
      </c>
    </row>
    <row r="8" spans="1:5" x14ac:dyDescent="0.3">
      <c r="A8" s="5" t="s">
        <v>13</v>
      </c>
      <c r="B8" s="4">
        <v>0</v>
      </c>
      <c r="C8" s="6">
        <v>506666666.66665989</v>
      </c>
      <c r="D8" s="3">
        <v>0</v>
      </c>
      <c r="E8" s="7">
        <v>-506666666.66665989</v>
      </c>
    </row>
    <row r="9" spans="1:5" x14ac:dyDescent="0.3">
      <c r="A9" s="5" t="s">
        <v>15</v>
      </c>
      <c r="B9" s="4">
        <v>0</v>
      </c>
      <c r="C9" s="6">
        <v>28333333.333328031</v>
      </c>
      <c r="D9" s="3">
        <v>0</v>
      </c>
      <c r="E9" s="7">
        <v>-28333333.333328031</v>
      </c>
    </row>
    <row r="10" spans="1:5" x14ac:dyDescent="0.3">
      <c r="A10" s="5" t="s">
        <v>22</v>
      </c>
      <c r="B10" s="4"/>
      <c r="C10" s="6">
        <v>0</v>
      </c>
      <c r="D10" s="3">
        <v>4801100</v>
      </c>
      <c r="E10" s="7">
        <v>4801100</v>
      </c>
    </row>
    <row r="11" spans="1:5" x14ac:dyDescent="0.3">
      <c r="A11" s="5" t="s">
        <v>12</v>
      </c>
      <c r="B11" s="4">
        <v>0</v>
      </c>
      <c r="C11" s="6">
        <v>44999999.999995999</v>
      </c>
      <c r="D11" s="3">
        <v>0</v>
      </c>
      <c r="E11" s="7">
        <v>-44999999.999995999</v>
      </c>
    </row>
    <row r="12" spans="1:5" x14ac:dyDescent="0.3">
      <c r="A12" s="5" t="s">
        <v>23</v>
      </c>
      <c r="B12" s="4"/>
      <c r="C12" s="6">
        <v>0</v>
      </c>
      <c r="D12" s="3">
        <v>0</v>
      </c>
      <c r="E12" s="7">
        <v>0</v>
      </c>
    </row>
    <row r="13" spans="1:5" x14ac:dyDescent="0.3">
      <c r="A13" s="5" t="s">
        <v>24</v>
      </c>
      <c r="B13" s="4"/>
      <c r="C13" s="6">
        <v>0</v>
      </c>
      <c r="D13" s="3">
        <v>95628322.180000007</v>
      </c>
      <c r="E13" s="7">
        <v>95628322.180000007</v>
      </c>
    </row>
    <row r="14" spans="1:5" x14ac:dyDescent="0.3">
      <c r="A14" s="5" t="s">
        <v>16</v>
      </c>
      <c r="B14" s="4"/>
      <c r="C14" s="6">
        <v>0</v>
      </c>
      <c r="D14" s="3">
        <v>-112955.9999999993</v>
      </c>
      <c r="E14" s="7">
        <v>-112955.9999999993</v>
      </c>
    </row>
    <row r="15" spans="1:5" x14ac:dyDescent="0.3">
      <c r="A15" s="5" t="s">
        <v>11</v>
      </c>
      <c r="B15" s="4">
        <v>0</v>
      </c>
      <c r="C15" s="6">
        <v>245833333.3333151</v>
      </c>
      <c r="D15" s="3">
        <v>0</v>
      </c>
      <c r="E15" s="7">
        <v>-245833333.3333151</v>
      </c>
    </row>
    <row r="16" spans="1:5" x14ac:dyDescent="0.3">
      <c r="A16" s="5" t="s">
        <v>17</v>
      </c>
      <c r="B16" s="4"/>
      <c r="C16" s="6">
        <v>0</v>
      </c>
      <c r="D16" s="3">
        <v>0</v>
      </c>
      <c r="E16" s="7">
        <v>0</v>
      </c>
    </row>
    <row r="17" spans="1:5" x14ac:dyDescent="0.3">
      <c r="A17" s="5" t="s">
        <v>25</v>
      </c>
      <c r="B17" s="4"/>
      <c r="C17" s="6">
        <v>0</v>
      </c>
      <c r="D17" s="3">
        <v>9745638.3800000101</v>
      </c>
      <c r="E17" s="9">
        <v>9745638.3800000101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C28" sqref="C28"/>
    </sheetView>
  </sheetViews>
  <sheetFormatPr baseColWidth="10" defaultColWidth="11.44140625" defaultRowHeight="14.4" x14ac:dyDescent="0.3"/>
  <cols>
    <col min="1" max="1" width="23.21875" customWidth="1"/>
  </cols>
  <sheetData>
    <row r="1" spans="1:1" x14ac:dyDescent="0.3">
      <c r="A1" t="s">
        <v>26</v>
      </c>
    </row>
    <row r="2" spans="1:1" x14ac:dyDescent="0.3">
      <c r="A2" t="s">
        <v>27</v>
      </c>
    </row>
    <row r="3" spans="1:1" x14ac:dyDescent="0.3">
      <c r="A3" t="s">
        <v>28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F13"/>
  <sheetViews>
    <sheetView workbookViewId="0">
      <selection activeCell="H8" sqref="H8"/>
    </sheetView>
  </sheetViews>
  <sheetFormatPr baseColWidth="10" defaultColWidth="8.77734375" defaultRowHeight="14.4" x14ac:dyDescent="0.3"/>
  <cols>
    <col min="1" max="1" width="31.77734375" bestFit="1" customWidth="1"/>
    <col min="2" max="3" width="13.77734375" bestFit="1" customWidth="1"/>
    <col min="4" max="4" width="12" bestFit="1" customWidth="1"/>
    <col min="5" max="5" width="8.5546875" bestFit="1" customWidth="1"/>
    <col min="6" max="6" width="13.21875" bestFit="1" customWidth="1"/>
  </cols>
  <sheetData>
    <row r="1" spans="1:6" ht="28.8" x14ac:dyDescent="0.3">
      <c r="A1" s="24" t="s">
        <v>29</v>
      </c>
      <c r="B1" s="25" t="s">
        <v>30</v>
      </c>
      <c r="C1" s="25" t="s">
        <v>3</v>
      </c>
      <c r="D1" s="25" t="s">
        <v>4</v>
      </c>
      <c r="E1" s="25" t="s">
        <v>31</v>
      </c>
      <c r="F1" s="23" t="s">
        <v>32</v>
      </c>
    </row>
    <row r="2" spans="1:6" x14ac:dyDescent="0.3">
      <c r="A2" s="11" t="s">
        <v>33</v>
      </c>
      <c r="B2" s="12"/>
      <c r="C2" s="12"/>
      <c r="D2" s="13"/>
      <c r="E2" s="14"/>
      <c r="F2" s="15"/>
    </row>
    <row r="3" spans="1:6" x14ac:dyDescent="0.3">
      <c r="A3" s="16" t="s">
        <v>34</v>
      </c>
      <c r="B3" s="17">
        <v>491317709.61000001</v>
      </c>
      <c r="C3" s="17">
        <v>178695483.03435776</v>
      </c>
      <c r="D3" s="18">
        <v>273840105.59000003</v>
      </c>
      <c r="E3" s="26">
        <v>1.5324399975871177</v>
      </c>
      <c r="F3" s="7">
        <v>256559160.31000003</v>
      </c>
    </row>
    <row r="4" spans="1:6" x14ac:dyDescent="0.3">
      <c r="A4" s="16" t="s">
        <v>35</v>
      </c>
      <c r="B4" s="17">
        <v>152194527.36000001</v>
      </c>
      <c r="C4" s="17">
        <v>102390317.7004329</v>
      </c>
      <c r="D4" s="18">
        <v>26230565.129999995</v>
      </c>
      <c r="E4" s="26">
        <v>0.25618208556343902</v>
      </c>
      <c r="F4" s="7">
        <v>-14289282.930000007</v>
      </c>
    </row>
    <row r="5" spans="1:6" x14ac:dyDescent="0.3">
      <c r="A5" s="16" t="s">
        <v>36</v>
      </c>
      <c r="B5" s="17">
        <v>35546402</v>
      </c>
      <c r="C5" s="17">
        <v>184248397.08953407</v>
      </c>
      <c r="D5" s="18">
        <v>15695338.329999998</v>
      </c>
      <c r="E5" s="26">
        <v>8.518575237521861E-2</v>
      </c>
      <c r="F5" s="7">
        <v>3694246.3699999992</v>
      </c>
    </row>
    <row r="6" spans="1:6" x14ac:dyDescent="0.3">
      <c r="A6" s="16" t="s">
        <v>37</v>
      </c>
      <c r="B6" s="17">
        <v>52154789.370000005</v>
      </c>
      <c r="C6" s="17">
        <v>106940998.48712452</v>
      </c>
      <c r="D6" s="18">
        <v>7902152.7400000095</v>
      </c>
      <c r="E6" s="26">
        <v>7.3892640351131592E-2</v>
      </c>
      <c r="F6" s="7">
        <v>5007526.9900000095</v>
      </c>
    </row>
    <row r="7" spans="1:6" x14ac:dyDescent="0.3">
      <c r="A7" s="16" t="s">
        <v>38</v>
      </c>
      <c r="B7" s="17">
        <v>30396086</v>
      </c>
      <c r="C7" s="17">
        <v>85487789.064166516</v>
      </c>
      <c r="D7" s="18">
        <v>5420486</v>
      </c>
      <c r="E7" s="26">
        <v>6.3406552670714433E-2</v>
      </c>
      <c r="F7" s="7">
        <v>-14257414.039999992</v>
      </c>
    </row>
    <row r="8" spans="1:6" x14ac:dyDescent="0.3">
      <c r="A8" s="16" t="s">
        <v>39</v>
      </c>
      <c r="B8" s="17">
        <v>8800000</v>
      </c>
      <c r="C8" s="17">
        <v>191697428.13917199</v>
      </c>
      <c r="D8" s="18">
        <v>4224000</v>
      </c>
      <c r="E8" s="26">
        <v>2.2034724414421374E-2</v>
      </c>
      <c r="F8" s="7">
        <v>4224000</v>
      </c>
    </row>
    <row r="9" spans="1:6" x14ac:dyDescent="0.3">
      <c r="A9" s="16" t="s">
        <v>40</v>
      </c>
      <c r="B9" s="17">
        <v>0</v>
      </c>
      <c r="C9" s="17">
        <v>0</v>
      </c>
      <c r="D9" s="18">
        <v>0</v>
      </c>
      <c r="E9" s="26"/>
      <c r="F9" s="7">
        <v>-441144.18000000017</v>
      </c>
    </row>
    <row r="10" spans="1:6" x14ac:dyDescent="0.3">
      <c r="A10" s="16" t="s">
        <v>41</v>
      </c>
      <c r="B10" s="17">
        <v>0</v>
      </c>
      <c r="C10" s="17">
        <v>0</v>
      </c>
      <c r="D10" s="18">
        <v>0</v>
      </c>
      <c r="E10" s="26"/>
      <c r="F10" s="7">
        <v>0</v>
      </c>
    </row>
    <row r="11" spans="1:6" x14ac:dyDescent="0.3">
      <c r="A11" s="16" t="s">
        <v>42</v>
      </c>
      <c r="B11" s="17"/>
      <c r="C11" s="17"/>
      <c r="D11" s="18"/>
      <c r="E11" s="26"/>
      <c r="F11" s="7">
        <v>-29552</v>
      </c>
    </row>
    <row r="12" spans="1:6" x14ac:dyDescent="0.3">
      <c r="A12" s="16" t="s">
        <v>43</v>
      </c>
      <c r="B12" s="17">
        <v>0</v>
      </c>
      <c r="C12" s="17">
        <v>22753403.933430597</v>
      </c>
      <c r="D12" s="18">
        <v>0</v>
      </c>
      <c r="E12" s="26">
        <v>0</v>
      </c>
      <c r="F12" s="7">
        <v>0</v>
      </c>
    </row>
    <row r="13" spans="1:6" x14ac:dyDescent="0.3">
      <c r="A13" s="19" t="s">
        <v>44</v>
      </c>
      <c r="B13" s="20">
        <v>770409514.34000003</v>
      </c>
      <c r="C13" s="20">
        <v>872213817.44821835</v>
      </c>
      <c r="D13" s="21">
        <v>333312647.79000002</v>
      </c>
      <c r="E13" s="27">
        <v>0.38214557155853374</v>
      </c>
      <c r="F13" s="22">
        <v>240467540.51999998</v>
      </c>
    </row>
  </sheetData>
  <conditionalFormatting sqref="E3:E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F13"/>
  <sheetViews>
    <sheetView tabSelected="1" workbookViewId="0">
      <selection activeCell="I6" sqref="I6"/>
    </sheetView>
  </sheetViews>
  <sheetFormatPr baseColWidth="10" defaultRowHeight="14.4" x14ac:dyDescent="0.3"/>
  <cols>
    <col min="1" max="1" width="29.5546875" bestFit="1" customWidth="1"/>
    <col min="2" max="3" width="12.33203125" bestFit="1" customWidth="1"/>
    <col min="4" max="4" width="9.88671875" bestFit="1" customWidth="1"/>
    <col min="5" max="5" width="7.77734375" bestFit="1" customWidth="1"/>
    <col min="6" max="6" width="11.5546875" bestFit="1" customWidth="1"/>
  </cols>
  <sheetData>
    <row r="1" spans="1:6" ht="28.8" x14ac:dyDescent="0.3">
      <c r="A1" s="28" t="s">
        <v>29</v>
      </c>
      <c r="B1" s="29" t="s">
        <v>30</v>
      </c>
      <c r="C1" s="29" t="s">
        <v>3</v>
      </c>
      <c r="D1" s="29" t="s">
        <v>4</v>
      </c>
      <c r="E1" s="29" t="s">
        <v>31</v>
      </c>
      <c r="F1" s="30" t="s">
        <v>32</v>
      </c>
    </row>
    <row r="2" spans="1:6" x14ac:dyDescent="0.3">
      <c r="A2" s="11" t="s">
        <v>33</v>
      </c>
      <c r="B2" s="12"/>
      <c r="C2" s="12"/>
      <c r="D2" s="13"/>
      <c r="E2" s="14"/>
      <c r="F2" s="15"/>
    </row>
    <row r="3" spans="1:6" x14ac:dyDescent="0.3">
      <c r="A3" s="16" t="s">
        <v>36</v>
      </c>
      <c r="B3" s="17">
        <v>293567149.97000003</v>
      </c>
      <c r="C3" s="17">
        <v>91800842.878753603</v>
      </c>
      <c r="D3" s="18">
        <v>30823146.090000033</v>
      </c>
      <c r="E3" s="4">
        <v>0.335761035775127</v>
      </c>
      <c r="F3" s="7">
        <v>-21417780.599999785</v>
      </c>
    </row>
    <row r="4" spans="1:6" x14ac:dyDescent="0.3">
      <c r="A4" s="16" t="s">
        <v>39</v>
      </c>
      <c r="B4" s="17">
        <v>144640230.25</v>
      </c>
      <c r="C4" s="17">
        <v>83577281.896116406</v>
      </c>
      <c r="D4" s="18">
        <v>13594203.789999992</v>
      </c>
      <c r="E4" s="4">
        <v>0.16265429410467203</v>
      </c>
      <c r="F4" s="7">
        <v>-4347053.7900000513</v>
      </c>
    </row>
    <row r="5" spans="1:6" x14ac:dyDescent="0.3">
      <c r="A5" s="16" t="s">
        <v>35</v>
      </c>
      <c r="B5" s="17">
        <v>36181684.129999995</v>
      </c>
      <c r="C5" s="17">
        <v>50069339.384766802</v>
      </c>
      <c r="D5" s="18">
        <v>6397684.1299999952</v>
      </c>
      <c r="E5" s="4">
        <v>0.12777648374458972</v>
      </c>
      <c r="F5" s="7">
        <v>6221663.6899999958</v>
      </c>
    </row>
    <row r="6" spans="1:6" x14ac:dyDescent="0.3">
      <c r="A6" s="16" t="s">
        <v>38</v>
      </c>
      <c r="B6" s="17">
        <v>11296680</v>
      </c>
      <c r="C6" s="17">
        <v>36043152.510621198</v>
      </c>
      <c r="D6" s="18">
        <v>1920440</v>
      </c>
      <c r="E6" s="4">
        <v>5.3281687816682646E-2</v>
      </c>
      <c r="F6" s="7">
        <v>-4542858.4300000072</v>
      </c>
    </row>
    <row r="7" spans="1:6" x14ac:dyDescent="0.3">
      <c r="A7" s="16" t="s">
        <v>43</v>
      </c>
      <c r="B7" s="17">
        <v>0</v>
      </c>
      <c r="C7" s="17">
        <v>3555219.3645986998</v>
      </c>
      <c r="D7" s="18">
        <v>0</v>
      </c>
      <c r="E7" s="4">
        <v>0</v>
      </c>
      <c r="F7" s="7">
        <v>0</v>
      </c>
    </row>
    <row r="8" spans="1:6" x14ac:dyDescent="0.3">
      <c r="A8" s="16" t="s">
        <v>42</v>
      </c>
      <c r="B8" s="17"/>
      <c r="C8" s="17"/>
      <c r="D8" s="18"/>
      <c r="E8" s="4"/>
      <c r="F8" s="7">
        <v>-118905</v>
      </c>
    </row>
    <row r="9" spans="1:6" x14ac:dyDescent="0.3">
      <c r="A9" s="16" t="s">
        <v>34</v>
      </c>
      <c r="B9" s="17">
        <v>0</v>
      </c>
      <c r="C9" s="17">
        <v>75417206.973561406</v>
      </c>
      <c r="D9" s="18">
        <v>0</v>
      </c>
      <c r="E9" s="4">
        <v>0</v>
      </c>
      <c r="F9" s="7">
        <v>0</v>
      </c>
    </row>
    <row r="10" spans="1:6" x14ac:dyDescent="0.3">
      <c r="A10" s="16" t="s">
        <v>40</v>
      </c>
      <c r="B10" s="17">
        <v>0</v>
      </c>
      <c r="C10" s="17">
        <v>0</v>
      </c>
      <c r="D10" s="18">
        <v>0</v>
      </c>
      <c r="E10" s="4"/>
      <c r="F10" s="7">
        <v>0</v>
      </c>
    </row>
    <row r="11" spans="1:6" x14ac:dyDescent="0.3">
      <c r="A11" s="16" t="s">
        <v>41</v>
      </c>
      <c r="B11" s="17">
        <v>0</v>
      </c>
      <c r="C11" s="17">
        <v>34494092.644621998</v>
      </c>
      <c r="D11" s="18">
        <v>0</v>
      </c>
      <c r="E11" s="4">
        <v>0</v>
      </c>
      <c r="F11" s="7">
        <v>-2334000</v>
      </c>
    </row>
    <row r="12" spans="1:6" x14ac:dyDescent="0.3">
      <c r="A12" s="16" t="s">
        <v>37</v>
      </c>
      <c r="B12" s="17">
        <v>5870410.8700000001</v>
      </c>
      <c r="C12" s="17">
        <v>16709531.013613399</v>
      </c>
      <c r="D12" s="18">
        <v>961129.96999999974</v>
      </c>
      <c r="E12" s="4">
        <v>5.7519865112728726E-2</v>
      </c>
      <c r="F12" s="7">
        <v>409739.12999999989</v>
      </c>
    </row>
    <row r="13" spans="1:6" x14ac:dyDescent="0.3">
      <c r="A13" s="19" t="s">
        <v>44</v>
      </c>
      <c r="B13" s="20">
        <v>491556155.22000003</v>
      </c>
      <c r="C13" s="20">
        <v>391666666.66665351</v>
      </c>
      <c r="D13" s="21">
        <v>53696603.980000019</v>
      </c>
      <c r="E13" s="31">
        <v>0.13709771228936629</v>
      </c>
      <c r="F13" s="22">
        <v>-26129195</v>
      </c>
    </row>
  </sheetData>
  <conditionalFormatting sqref="E2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Copa Copilot</vt:lpstr>
      <vt:lpstr>Actividad Semanal</vt:lpstr>
      <vt:lpstr>Estados</vt:lpstr>
      <vt:lpstr>Dominios Acumulado</vt:lpstr>
      <vt:lpstr>Dominio Mes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Mario Andres Arango Materon</cp:lastModifiedBy>
  <cp:revision/>
  <dcterms:created xsi:type="dcterms:W3CDTF">2026-05-26T20:06:50Z</dcterms:created>
  <dcterms:modified xsi:type="dcterms:W3CDTF">2026-08-04T13:03:28Z</dcterms:modified>
  <cp:category/>
  <cp:contentStatus/>
</cp:coreProperties>
</file>