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434" documentId="11_7B0F6A10CFB5B9B3AED9E795B9A4719BFA1CF949" xr6:coauthVersionLast="47" xr6:coauthVersionMax="47" xr10:uidLastSave="{7BCAC33D-FF2A-4A9A-9C8B-015FAFC5A2ED}"/>
  <bookViews>
    <workbookView minimized="1" xWindow="24" yWindow="24" windowWidth="23016" windowHeight="12216" xr2:uid="{00000000-000D-0000-FFFF-FFFF00000000}"/>
  </bookViews>
  <sheets>
    <sheet name="Copa Copilot" sheetId="1" r:id="rId1"/>
    <sheet name="Actividad Semanal" sheetId="2" r:id="rId2"/>
    <sheet name="Estado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</calcChain>
</file>

<file path=xl/sharedStrings.xml><?xml version="1.0" encoding="utf-8"?>
<sst xmlns="http://schemas.openxmlformats.org/spreadsheetml/2006/main" count="40" uniqueCount="29">
  <si>
    <t>Pos</t>
  </si>
  <si>
    <t>Comercial</t>
  </si>
  <si>
    <t>% de cumplimiento</t>
  </si>
  <si>
    <t>Cuota</t>
  </si>
  <si>
    <t>Utilidad Bruta</t>
  </si>
  <si>
    <t>Compromiso</t>
  </si>
  <si>
    <t>Falta</t>
  </si>
  <si>
    <t>RODRIGUEZ CONTRERAS JENIFFER LORENA</t>
  </si>
  <si>
    <t>ECHEVERRY SANDRA</t>
  </si>
  <si>
    <t>CORREA CORPUS WILLIAM ERNESTO</t>
  </si>
  <si>
    <t>MENDOZA SALAZAR ROMY VALENTINA</t>
  </si>
  <si>
    <t>NN OCCIDE_SMC_001 1</t>
  </si>
  <si>
    <t>CHARRY OCHOA VIVIANA ANDREA</t>
  </si>
  <si>
    <t>ESPINOSA ORTIZ DEISON FERNANDO</t>
  </si>
  <si>
    <t>NN OCCIDE_CORPO_001 1</t>
  </si>
  <si>
    <t>NN OCCIDE_ENTER_001 1</t>
  </si>
  <si>
    <t>Vendedor</t>
  </si>
  <si>
    <t>% Cump</t>
  </si>
  <si>
    <t>Gap</t>
  </si>
  <si>
    <t>COLLAZOS PRIETO JUAN FELIPE</t>
  </si>
  <si>
    <t>NN OCCIDE_SMC_001 2</t>
  </si>
  <si>
    <t>DIRECTOS CALI DIRECTOS CALI</t>
  </si>
  <si>
    <t>SOTO FERNANDO</t>
  </si>
  <si>
    <t>LOZANO GARCIA JULIO ERNESTO</t>
  </si>
  <si>
    <t>VALERO VELA LUZ EDIT</t>
  </si>
  <si>
    <t>Total general</t>
  </si>
  <si>
    <t>Clasificado</t>
  </si>
  <si>
    <t>En Carrera</t>
  </si>
  <si>
    <t>Valle de la oportunidad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</si>
</sst>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\ #,##0;[Red]\-&quot;$&quot;\ #,##0"/>
    <numFmt numFmtId="165" formatCode="&quot;$&quot;#,##0"/>
    <numFmt numFmtId="166" formatCode="&quot;$&quot;#,##0;[Red]\-&quot;$&quot;#,##0"/>
  </numFmts>
  <fonts count="7">
    <font>
      <sz val="11"/>
      <color theme="1"/>
      <name val="Calibri"/>
      <family val="2"/>
      <scheme val="minor"/>
    </font>
    <font>
      <b/>
      <sz val="12"/>
      <color rgb="FFFFD700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rgb="FFFFD700"/>
      <name val="Calibri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166" fontId="0" fillId="0" borderId="0" xfId="0" applyNumberFormat="1"/>
    <xf numFmtId="0" fontId="6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/>
    </xf>
    <xf numFmtId="10" fontId="3" fillId="4" borderId="0" xfId="0" applyNumberFormat="1" applyFont="1" applyFill="1"/>
    <xf numFmtId="165" fontId="3" fillId="4" borderId="0" xfId="0" applyNumberFormat="1" applyFont="1" applyFill="1"/>
    <xf numFmtId="164" fontId="3" fillId="4" borderId="0" xfId="0" applyNumberFormat="1" applyFont="1" applyFill="1"/>
    <xf numFmtId="166" fontId="6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workbookViewId="0">
      <selection activeCell="B2" sqref="B2:F10"/>
    </sheetView>
  </sheetViews>
  <sheetFormatPr defaultColWidth="9.140625" defaultRowHeight="14.45"/>
  <cols>
    <col min="1" max="1" width="6" customWidth="1"/>
    <col min="2" max="2" width="36.85546875" bestFit="1" customWidth="1"/>
    <col min="3" max="3" width="19.140625" bestFit="1" customWidth="1"/>
    <col min="4" max="4" width="11.5703125" bestFit="1" customWidth="1"/>
    <col min="5" max="5" width="14.140625" bestFit="1" customWidth="1"/>
    <col min="6" max="6" width="13.28515625" bestFit="1" customWidth="1"/>
    <col min="7" max="7" width="17.140625" customWidth="1"/>
  </cols>
  <sheetData>
    <row r="1" spans="1:7" ht="15.6">
      <c r="A1" s="1" t="s">
        <v>0</v>
      </c>
      <c r="B1" s="1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15">
      <c r="A2" s="2">
        <v>1</v>
      </c>
      <c r="B2" s="7" t="s">
        <v>7</v>
      </c>
      <c r="C2" s="4">
        <v>0.42795192960001205</v>
      </c>
      <c r="D2" s="8">
        <v>16666666.666666199</v>
      </c>
      <c r="E2" s="3">
        <v>7132532.1600000113</v>
      </c>
      <c r="F2" s="3">
        <v>7500000</v>
      </c>
      <c r="G2" s="3">
        <f>+F2-E2</f>
        <v>367467.83999998868</v>
      </c>
    </row>
    <row r="3" spans="1:7" ht="15">
      <c r="A3" s="2">
        <v>2</v>
      </c>
      <c r="B3" s="7" t="s">
        <v>8</v>
      </c>
      <c r="C3" s="4">
        <v>0.13657475911579026</v>
      </c>
      <c r="D3" s="8">
        <v>79166666.66666621</v>
      </c>
      <c r="E3" s="3">
        <v>10812168.430000007</v>
      </c>
      <c r="F3" s="3">
        <v>10812168.430000007</v>
      </c>
      <c r="G3" s="3">
        <f>+F3-E3</f>
        <v>0</v>
      </c>
    </row>
    <row r="4" spans="1:7" ht="15">
      <c r="A4" s="2">
        <v>3</v>
      </c>
      <c r="B4" s="7" t="s">
        <v>9</v>
      </c>
      <c r="C4" s="4">
        <v>0.12726489138461788</v>
      </c>
      <c r="D4" s="8">
        <v>54166666.666665599</v>
      </c>
      <c r="E4" s="3">
        <v>6893514.950000003</v>
      </c>
      <c r="F4" s="3">
        <v>119500000</v>
      </c>
      <c r="G4" s="3">
        <f>+F4-E4</f>
        <v>112606485.05</v>
      </c>
    </row>
    <row r="5" spans="1:7" ht="15">
      <c r="A5" s="2">
        <v>4</v>
      </c>
      <c r="B5" s="7" t="s">
        <v>10</v>
      </c>
      <c r="C5" s="4">
        <v>9.0843144252632804E-2</v>
      </c>
      <c r="D5" s="8">
        <v>79166666.666665599</v>
      </c>
      <c r="E5" s="3">
        <v>7191748.9199999869</v>
      </c>
      <c r="F5" s="3">
        <v>35000000</v>
      </c>
      <c r="G5" s="3">
        <f>+F5-E5</f>
        <v>27808251.080000013</v>
      </c>
    </row>
    <row r="6" spans="1:7" ht="15">
      <c r="A6" s="2">
        <v>5</v>
      </c>
      <c r="B6" s="7" t="s">
        <v>11</v>
      </c>
      <c r="C6" s="4">
        <v>0</v>
      </c>
      <c r="D6" s="8">
        <v>25000000.000000097</v>
      </c>
      <c r="E6" s="3">
        <v>0</v>
      </c>
      <c r="F6" s="3">
        <v>0</v>
      </c>
      <c r="G6" s="3">
        <f>+F6-E6</f>
        <v>0</v>
      </c>
    </row>
    <row r="7" spans="1:7" ht="15">
      <c r="A7" s="2">
        <v>6</v>
      </c>
      <c r="B7" s="7" t="s">
        <v>12</v>
      </c>
      <c r="C7" s="4"/>
      <c r="D7" s="8">
        <v>0</v>
      </c>
      <c r="E7" s="3">
        <v>-112955.9999999993</v>
      </c>
      <c r="F7" s="3">
        <v>-112955.9999999993</v>
      </c>
      <c r="G7" s="3">
        <f>+F7-E7</f>
        <v>0</v>
      </c>
    </row>
    <row r="8" spans="1:7" ht="15">
      <c r="A8" s="2">
        <v>7</v>
      </c>
      <c r="B8" s="7" t="s">
        <v>13</v>
      </c>
      <c r="C8" s="4"/>
      <c r="D8" s="8">
        <v>0</v>
      </c>
      <c r="E8" s="3">
        <v>67216.850000000093</v>
      </c>
      <c r="F8" s="3">
        <v>67216.850000000093</v>
      </c>
      <c r="G8" s="3">
        <f>+F8-E8</f>
        <v>0</v>
      </c>
    </row>
    <row r="9" spans="1:7" ht="15">
      <c r="A9" s="2">
        <v>8</v>
      </c>
      <c r="B9" s="7" t="s">
        <v>14</v>
      </c>
      <c r="C9" s="4">
        <v>0</v>
      </c>
      <c r="D9" s="8">
        <v>58333333.333329797</v>
      </c>
      <c r="E9" s="3">
        <v>0</v>
      </c>
      <c r="F9" s="3">
        <v>0</v>
      </c>
      <c r="G9" s="3">
        <f>+F9-E9</f>
        <v>0</v>
      </c>
    </row>
    <row r="10" spans="1:7" ht="15">
      <c r="A10" s="2">
        <v>9</v>
      </c>
      <c r="B10" s="7" t="s">
        <v>15</v>
      </c>
      <c r="C10" s="4">
        <v>0</v>
      </c>
      <c r="D10" s="8">
        <v>79166666.66666621</v>
      </c>
      <c r="E10" s="3">
        <v>0</v>
      </c>
      <c r="F10" s="3">
        <v>0</v>
      </c>
      <c r="G10" s="3">
        <f>+F10-E10</f>
        <v>0</v>
      </c>
    </row>
    <row r="11" spans="1:7" ht="15">
      <c r="G11" s="3"/>
    </row>
    <row r="12" spans="1:7" ht="15">
      <c r="G12" s="3"/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workbookViewId="0">
      <selection activeCell="F14" sqref="F14"/>
    </sheetView>
  </sheetViews>
  <sheetFormatPr defaultColWidth="9.140625" defaultRowHeight="14.45"/>
  <cols>
    <col min="1" max="1" width="41.28515625" bestFit="1" customWidth="1"/>
    <col min="2" max="2" width="17" customWidth="1"/>
    <col min="3" max="3" width="21.140625" customWidth="1"/>
    <col min="4" max="4" width="20" customWidth="1"/>
    <col min="5" max="5" width="16.7109375" customWidth="1"/>
  </cols>
  <sheetData>
    <row r="1" spans="1:5">
      <c r="A1" s="10" t="s">
        <v>16</v>
      </c>
      <c r="B1" s="10" t="s">
        <v>17</v>
      </c>
      <c r="C1" s="10" t="s">
        <v>3</v>
      </c>
      <c r="D1" s="10" t="s">
        <v>4</v>
      </c>
      <c r="E1" s="10" t="s">
        <v>18</v>
      </c>
    </row>
    <row r="2" spans="1:5" ht="15">
      <c r="A2" s="7" t="s">
        <v>7</v>
      </c>
      <c r="B2" s="4">
        <v>1.5235627141714976</v>
      </c>
      <c r="C2" s="8">
        <v>58333333.333330706</v>
      </c>
      <c r="D2" s="3">
        <v>88874491.659999847</v>
      </c>
      <c r="E2" s="9">
        <v>30541158.326669142</v>
      </c>
    </row>
    <row r="3" spans="1:5" ht="15">
      <c r="A3" s="7" t="s">
        <v>10</v>
      </c>
      <c r="B3" s="4">
        <v>0.68582768232238223</v>
      </c>
      <c r="C3" s="8">
        <v>506666666.66665649</v>
      </c>
      <c r="D3" s="3">
        <v>347486025.70999885</v>
      </c>
      <c r="E3" s="9">
        <v>-159180640.95665765</v>
      </c>
    </row>
    <row r="4" spans="1:5" ht="15">
      <c r="A4" s="7" t="s">
        <v>8</v>
      </c>
      <c r="B4" s="4">
        <v>0.34818222426316275</v>
      </c>
      <c r="C4" s="8">
        <v>506666666.66665971</v>
      </c>
      <c r="D4" s="3">
        <v>176412326.96000147</v>
      </c>
      <c r="E4" s="9">
        <v>-330254339.70665824</v>
      </c>
    </row>
    <row r="5" spans="1:5" ht="15">
      <c r="A5" s="7" t="s">
        <v>13</v>
      </c>
      <c r="B5" s="4">
        <v>0.21726992437037174</v>
      </c>
      <c r="C5" s="8">
        <v>134999999.99999914</v>
      </c>
      <c r="D5" s="3">
        <v>29331439.789999902</v>
      </c>
      <c r="E5" s="9">
        <v>-105668560.20999923</v>
      </c>
    </row>
    <row r="6" spans="1:5" ht="15">
      <c r="A6" s="7" t="s">
        <v>19</v>
      </c>
      <c r="B6" s="4">
        <v>0.21633626109805201</v>
      </c>
      <c r="C6" s="8">
        <v>127499999.99999246</v>
      </c>
      <c r="D6" s="3">
        <v>27582873.289999932</v>
      </c>
      <c r="E6" s="9">
        <v>-99917126.709992528</v>
      </c>
    </row>
    <row r="7" spans="1:5" ht="15">
      <c r="A7" s="7" t="s">
        <v>9</v>
      </c>
      <c r="B7" s="4">
        <v>0.21526310117308381</v>
      </c>
      <c r="C7" s="8">
        <v>346666666.66665542</v>
      </c>
      <c r="D7" s="3">
        <v>74624541.739999771</v>
      </c>
      <c r="E7" s="9">
        <v>-272042124.92665565</v>
      </c>
    </row>
    <row r="8" spans="1:5" ht="15">
      <c r="A8" s="7" t="s">
        <v>11</v>
      </c>
      <c r="B8" s="4">
        <v>0</v>
      </c>
      <c r="C8" s="8">
        <v>44999999.999995992</v>
      </c>
      <c r="D8" s="3">
        <v>0</v>
      </c>
      <c r="E8" s="9">
        <v>-44999999.999995992</v>
      </c>
    </row>
    <row r="9" spans="1:5" ht="15">
      <c r="A9" s="7" t="s">
        <v>15</v>
      </c>
      <c r="B9" s="4">
        <v>0</v>
      </c>
      <c r="C9" s="8">
        <v>506666666.66665965</v>
      </c>
      <c r="D9" s="3">
        <v>0</v>
      </c>
      <c r="E9" s="9">
        <v>-506666666.66665965</v>
      </c>
    </row>
    <row r="10" spans="1:5" ht="15">
      <c r="A10" s="7" t="s">
        <v>20</v>
      </c>
      <c r="B10" s="4">
        <v>0</v>
      </c>
      <c r="C10" s="8">
        <v>28333333.333328009</v>
      </c>
      <c r="D10" s="3">
        <v>0</v>
      </c>
      <c r="E10" s="9">
        <v>-28333333.333328009</v>
      </c>
    </row>
    <row r="11" spans="1:5" ht="15">
      <c r="A11" s="7" t="s">
        <v>21</v>
      </c>
      <c r="B11" s="4"/>
      <c r="C11" s="8">
        <v>0</v>
      </c>
      <c r="D11" s="3">
        <v>95628322.180000007</v>
      </c>
      <c r="E11" s="9">
        <v>95628322.180000007</v>
      </c>
    </row>
    <row r="12" spans="1:5" ht="15">
      <c r="A12" s="7" t="s">
        <v>22</v>
      </c>
      <c r="B12" s="4"/>
      <c r="C12" s="8">
        <v>0</v>
      </c>
      <c r="D12" s="3">
        <v>4801100</v>
      </c>
      <c r="E12" s="9">
        <v>4801100</v>
      </c>
    </row>
    <row r="13" spans="1:5" ht="15">
      <c r="A13" s="7" t="s">
        <v>23</v>
      </c>
      <c r="B13" s="4"/>
      <c r="C13" s="8">
        <v>0</v>
      </c>
      <c r="D13" s="3">
        <v>9745638.3800000101</v>
      </c>
      <c r="E13" s="9">
        <v>9745638.3800000101</v>
      </c>
    </row>
    <row r="14" spans="1:5" ht="15">
      <c r="A14" s="7" t="s">
        <v>24</v>
      </c>
      <c r="B14" s="4"/>
      <c r="C14" s="8">
        <v>0</v>
      </c>
      <c r="D14" s="3">
        <v>0</v>
      </c>
      <c r="E14" s="9">
        <v>0</v>
      </c>
    </row>
    <row r="15" spans="1:5" ht="15">
      <c r="A15" s="7" t="s">
        <v>12</v>
      </c>
      <c r="B15" s="4"/>
      <c r="C15" s="8">
        <v>0</v>
      </c>
      <c r="D15" s="3">
        <v>-112955.9999999993</v>
      </c>
      <c r="E15" s="9">
        <v>-112955.9999999993</v>
      </c>
    </row>
    <row r="16" spans="1:5" ht="15">
      <c r="A16" s="7" t="s">
        <v>14</v>
      </c>
      <c r="B16" s="4">
        <v>0</v>
      </c>
      <c r="C16" s="8">
        <v>245833333.33331513</v>
      </c>
      <c r="D16" s="3">
        <v>0</v>
      </c>
      <c r="E16" s="9">
        <v>-245833333.33331513</v>
      </c>
    </row>
    <row r="17" spans="1:5" ht="15">
      <c r="A17" s="11" t="s">
        <v>25</v>
      </c>
      <c r="B17" s="12">
        <v>0.34084061318219094</v>
      </c>
      <c r="C17" s="13">
        <v>2506666666.6665926</v>
      </c>
      <c r="D17" s="14">
        <v>854373803.71000004</v>
      </c>
      <c r="E17" s="15">
        <v>-1652292862.9565928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A3"/>
  <sheetViews>
    <sheetView workbookViewId="0">
      <selection activeCell="C28" sqref="C28"/>
    </sheetView>
  </sheetViews>
  <sheetFormatPr defaultColWidth="11.42578125" defaultRowHeight="14.45"/>
  <cols>
    <col min="1" max="1" width="23.28515625" customWidth="1"/>
  </cols>
  <sheetData>
    <row r="1" spans="1:1">
      <c r="A1" t="s">
        <v>26</v>
      </c>
    </row>
    <row r="2" spans="1:1">
      <c r="A2" t="s">
        <v>27</v>
      </c>
    </row>
    <row r="3" spans="1:1">
      <c r="A3" t="s">
        <v>28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Usuario invitado</cp:lastModifiedBy>
  <cp:revision/>
  <dcterms:created xsi:type="dcterms:W3CDTF">2026-05-26T20:06:50Z</dcterms:created>
  <dcterms:modified xsi:type="dcterms:W3CDTF">2026-07-30T12:19:26Z</dcterms:modified>
  <cp:category/>
  <cp:contentStatus/>
</cp:coreProperties>
</file>