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481" documentId="11_7B0F6A10CFB5B9B3AED9E795B9A4719BFA1CF949" xr6:coauthVersionLast="47" xr6:coauthVersionMax="47" xr10:uidLastSave="{7AEA0780-7C84-4719-9BCB-39F780251E5F}"/>
  <bookViews>
    <workbookView xWindow="-110" yWindow="-110" windowWidth="19420" windowHeight="11500" activeTab="4" xr2:uid="{00000000-000D-0000-FFFF-FFFF00000000}"/>
  </bookViews>
  <sheets>
    <sheet name="Copa Copilot" sheetId="1" r:id="rId1"/>
    <sheet name="Actividad Semanal" sheetId="2" r:id="rId2"/>
    <sheet name="Estados" sheetId="3" r:id="rId3"/>
    <sheet name="Dominios Acumulado" sheetId="4" r:id="rId4"/>
    <sheet name="Dominio Me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4" l="1"/>
  <c r="J14" i="4"/>
  <c r="K13" i="4"/>
  <c r="J13" i="4"/>
  <c r="K12" i="4"/>
  <c r="J12" i="4"/>
  <c r="K11" i="4"/>
  <c r="J11" i="4"/>
  <c r="K10" i="4"/>
  <c r="J10" i="4"/>
  <c r="K9" i="4"/>
  <c r="J9" i="4"/>
  <c r="K8" i="4"/>
  <c r="J8" i="4"/>
  <c r="K7" i="4"/>
  <c r="J7" i="4"/>
  <c r="K6" i="4"/>
  <c r="J6" i="4"/>
  <c r="K5" i="4"/>
  <c r="J5" i="4"/>
  <c r="K4" i="4"/>
  <c r="J4" i="4"/>
</calcChain>
</file>

<file path=xl/sharedStrings.xml><?xml version="1.0" encoding="utf-8"?>
<sst xmlns="http://schemas.openxmlformats.org/spreadsheetml/2006/main" count="95" uniqueCount="50">
  <si>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</si>
  <si>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</si>
  <si>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</si>
  <si>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</si>
  <si>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</si>
  <si>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</si>
  <si>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</si>
  <si>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</si>
  <si>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</si>
  <si>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</si>
  <si>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</si>
  <si>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OCCIDE_CORPO_001 1</t>
  </si>
  <si>
    <t>NN OCCIDE_SMC_001 1</t>
  </si>
  <si>
    <t>NN OCCIDE_ENTER_001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</si>
  <si>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</si>
  <si>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</si>
  <si>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</si>
  <si>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</si>
  <si>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</si>
  <si>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</si>
  <si>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</si>
  <si>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</si>
  <si>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</si>
  <si>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</si>
  <si>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</si>
  <si>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</si>
  <si>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Clasificado</t>
  </si>
  <si>
    <t>En Carrera</t>
  </si>
  <si>
    <t>Valle de la oportunidad</t>
  </si>
  <si>
    <t>2025</t>
  </si>
  <si>
    <t>2026</t>
  </si>
  <si>
    <t>Etiquetas de fila</t>
  </si>
  <si>
    <t>Volumen</t>
  </si>
  <si>
    <t>% UB</t>
  </si>
  <si>
    <t>Y to Y Ub</t>
  </si>
  <si>
    <t>%crec/dec</t>
  </si>
  <si>
    <t>VALLE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</si>
  <si>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</si>
  <si>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</si>
  <si>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</si>
  <si>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</si>
  <si>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</si>
  <si>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</si>
  <si>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</si>
  <si>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</si>
  <si>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NO DOMAIN</t>
  </si>
  <si>
    <t>DIGITAL TRANSFORMATION</t>
  </si>
  <si>
    <t>Total VALLE</t>
  </si>
  <si>
    <t>Etiquetas de columna</t>
  </si>
  <si>
    <t>% 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</si>
</sst>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\ #,##0;[Red]\-&quot;$&quot;\ #,##0"/>
    <numFmt numFmtId="164" formatCode="_-* #,##0\ &quot;€&quot;_-;\-* #,##0\ &quot;€&quot;_-;_-* &quot;-&quot;\ &quot;€&quot;_-;_-@_-"/>
    <numFmt numFmtId="165" formatCode="&quot;$&quot;#,##0"/>
    <numFmt numFmtId="166" formatCode="&quot;$&quot;#,##0;[Red]\-&quot;$&quot;#,##0"/>
    <numFmt numFmtId="167" formatCode="&quot;$&quot;\ #,##0"/>
    <numFmt numFmtId="168" formatCode="_-&quot;$&quot;\ * #,##0_-;\-&quot;$&quot;\ * #,##0_-;_-&quot;$&quot;\ * &quot;-&quot;_-;_-@_-"/>
    <numFmt numFmtId="171" formatCode="_-&quot;$&quot;* #,##0.00_-;\-&quot;$&quot;* #,##0.00_-;_-&quot;$&quot;* &quot;-&quot;??_-;_-@_-"/>
  </numFmts>
  <fonts count="9" x14ac:knownFonts="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6" fontId="0" fillId="0" borderId="0" xfId="0" applyNumberFormat="1"/>
    <xf numFmtId="10" fontId="0" fillId="0" borderId="0" xfId="0" applyNumberFormat="1"/>
    <xf numFmtId="0" fontId="0" fillId="0" borderId="0" xfId="0" applyAlignment="1">
      <alignment horizontal="left"/>
    </xf>
    <xf numFmtId="165" fontId="0" fillId="0" borderId="0" xfId="0" applyNumberFormat="1"/>
    <xf numFmtId="166" fontId="0" fillId="0" borderId="0" xfId="0" applyNumberFormat="1"/>
    <xf numFmtId="0" fontId="4" fillId="3" borderId="0" xfId="0" applyFont="1" applyFill="1" applyAlignment="1">
      <alignment horizontal="center" vertical="center"/>
    </xf>
    <xf numFmtId="166" fontId="5" fillId="0" borderId="0" xfId="0" applyNumberFormat="1" applyFont="1"/>
    <xf numFmtId="0" fontId="1" fillId="2" borderId="2" xfId="0" applyFont="1" applyFill="1" applyBorder="1" applyAlignment="1">
      <alignment horizontal="center" vertical="center"/>
    </xf>
    <xf numFmtId="0" fontId="0" fillId="4" borderId="0" xfId="0" applyFill="1" applyAlignment="1">
      <alignment horizontal="left"/>
    </xf>
    <xf numFmtId="167" fontId="0" fillId="4" borderId="0" xfId="0" applyNumberFormat="1" applyFill="1"/>
    <xf numFmtId="3" fontId="0" fillId="4" borderId="0" xfId="0" applyNumberFormat="1" applyFill="1"/>
    <xf numFmtId="0" fontId="0" fillId="4" borderId="0" xfId="0" applyFill="1"/>
    <xf numFmtId="166" fontId="7" fillId="4" borderId="0" xfId="0" applyNumberFormat="1" applyFont="1" applyFill="1"/>
    <xf numFmtId="9" fontId="7" fillId="4" borderId="0" xfId="2" applyFont="1" applyFill="1"/>
    <xf numFmtId="0" fontId="0" fillId="0" borderId="0" xfId="0" applyAlignment="1">
      <alignment horizontal="left" indent="1"/>
    </xf>
    <xf numFmtId="167" fontId="0" fillId="0" borderId="0" xfId="0" applyNumberFormat="1"/>
    <xf numFmtId="3" fontId="0" fillId="0" borderId="0" xfId="0" applyNumberFormat="1"/>
    <xf numFmtId="9" fontId="7" fillId="0" borderId="0" xfId="2" applyFont="1" applyFill="1"/>
    <xf numFmtId="0" fontId="0" fillId="5" borderId="0" xfId="0" applyFill="1" applyAlignment="1">
      <alignment horizontal="left"/>
    </xf>
    <xf numFmtId="167" fontId="0" fillId="5" borderId="0" xfId="0" applyNumberFormat="1" applyFill="1"/>
    <xf numFmtId="3" fontId="0" fillId="5" borderId="0" xfId="0" applyNumberFormat="1" applyFill="1"/>
    <xf numFmtId="166" fontId="7" fillId="5" borderId="0" xfId="0" applyNumberFormat="1" applyFont="1" applyFill="1"/>
    <xf numFmtId="9" fontId="7" fillId="5" borderId="0" xfId="2" applyFont="1" applyFill="1"/>
    <xf numFmtId="0" fontId="7" fillId="6" borderId="0" xfId="0" applyFont="1" applyFill="1"/>
    <xf numFmtId="164" fontId="7" fillId="6" borderId="0" xfId="1" applyFont="1" applyFill="1" applyAlignment="1">
      <alignment horizontal="center" vertical="center"/>
    </xf>
    <xf numFmtId="9" fontId="7" fillId="6" borderId="0" xfId="2" applyFont="1" applyFill="1" applyAlignment="1">
      <alignment horizontal="center" vertical="center"/>
    </xf>
    <xf numFmtId="0" fontId="8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 vertical="center" wrapText="1"/>
    </xf>
    <xf numFmtId="0" fontId="8" fillId="6" borderId="0" xfId="0" applyFont="1" applyFill="1"/>
    <xf numFmtId="10" fontId="8" fillId="0" borderId="0" xfId="0" applyNumberFormat="1" applyFont="1"/>
    <xf numFmtId="10" fontId="8" fillId="5" borderId="0" xfId="0" applyNumberFormat="1" applyFont="1" applyFill="1"/>
    <xf numFmtId="0" fontId="8" fillId="6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7" fillId="7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/>
    </xf>
    <xf numFmtId="0" fontId="7" fillId="7" borderId="0" xfId="0" applyFont="1" applyFill="1"/>
    <xf numFmtId="0" fontId="7" fillId="7" borderId="0" xfId="0" applyFont="1" applyFill="1" applyAlignment="1">
      <alignment horizontal="center" vertical="center" wrapText="1"/>
    </xf>
    <xf numFmtId="167" fontId="0" fillId="0" borderId="0" xfId="0" applyNumberFormat="1"/>
    <xf numFmtId="10" fontId="0" fillId="0" borderId="0" xfId="0" applyNumberFormat="1"/>
    <xf numFmtId="3" fontId="0" fillId="0" borderId="0" xfId="0" applyNumberFormat="1"/>
    <xf numFmtId="168" fontId="7" fillId="7" borderId="0" xfId="4" applyFont="1" applyFill="1" applyAlignment="1">
      <alignment horizontal="center" vertical="center"/>
    </xf>
    <xf numFmtId="9" fontId="7" fillId="7" borderId="0" xfId="2" applyFont="1" applyFill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left" indent="1"/>
    </xf>
    <xf numFmtId="9" fontId="7" fillId="0" borderId="0" xfId="2" applyFont="1" applyFill="1"/>
    <xf numFmtId="0" fontId="0" fillId="5" borderId="0" xfId="0" applyFill="1" applyAlignment="1">
      <alignment horizontal="left"/>
    </xf>
    <xf numFmtId="167" fontId="0" fillId="5" borderId="0" xfId="0" applyNumberFormat="1" applyFill="1"/>
    <xf numFmtId="3" fontId="0" fillId="5" borderId="0" xfId="0" applyNumberFormat="1" applyFill="1"/>
    <xf numFmtId="166" fontId="7" fillId="5" borderId="0" xfId="0" applyNumberFormat="1" applyFont="1" applyFill="1"/>
    <xf numFmtId="9" fontId="7" fillId="5" borderId="0" xfId="2" applyFont="1" applyFill="1"/>
    <xf numFmtId="0" fontId="0" fillId="4" borderId="0" xfId="0" applyFill="1" applyAlignment="1">
      <alignment horizontal="left"/>
    </xf>
    <xf numFmtId="167" fontId="0" fillId="4" borderId="0" xfId="0" applyNumberFormat="1" applyFill="1"/>
    <xf numFmtId="3" fontId="0" fillId="4" borderId="0" xfId="0" applyNumberFormat="1" applyFill="1"/>
    <xf numFmtId="166" fontId="7" fillId="4" borderId="0" xfId="0" applyNumberFormat="1" applyFont="1" applyFill="1"/>
    <xf numFmtId="9" fontId="7" fillId="4" borderId="0" xfId="2" applyFont="1" applyFill="1"/>
    <xf numFmtId="10" fontId="0" fillId="5" borderId="0" xfId="0" applyNumberFormat="1" applyFill="1"/>
    <xf numFmtId="0" fontId="0" fillId="4" borderId="0" xfId="0" applyNumberFormat="1" applyFill="1"/>
  </cellXfs>
  <cellStyles count="6">
    <cellStyle name="Moneda [0]" xfId="1" builtinId="7"/>
    <cellStyle name="Moneda [0] 2" xfId="4" xr:uid="{0CCB16E3-81C2-4951-B834-94F35D3AC9B1}"/>
    <cellStyle name="Moneda 2" xfId="3" xr:uid="{E3481F5F-7FEF-4617-8D16-A7A96E887278}"/>
    <cellStyle name="Moneda 3" xfId="5" xr:uid="{F307236A-65B4-4AB6-879A-D24F4D74FE5A}"/>
    <cellStyle name="Normal" xfId="0" builtinId="0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workbookViewId="0">
      <selection activeCell="J6" sqref="J6"/>
    </sheetView>
  </sheetViews>
  <sheetFormatPr baseColWidth="10" defaultColWidth="9.1796875" defaultRowHeight="14.5" x14ac:dyDescent="0.35"/>
  <cols>
    <col min="1" max="1" width="6" customWidth="1"/>
    <col min="2" max="2" width="36.81640625" bestFit="1" customWidth="1"/>
    <col min="3" max="3" width="19.1796875" bestFit="1" customWidth="1"/>
    <col min="4" max="4" width="11.54296875" bestFit="1" customWidth="1"/>
    <col min="5" max="5" width="14.1796875" bestFit="1" customWidth="1"/>
    <col min="6" max="6" width="13.26953125" bestFit="1" customWidth="1"/>
    <col min="7" max="7" width="17.1796875" customWidth="1"/>
  </cols>
  <sheetData>
    <row r="1" spans="1:7" ht="15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0" t="s">
        <v>6</v>
      </c>
    </row>
    <row r="2" spans="1:7" x14ac:dyDescent="0.35">
      <c r="A2" s="2">
        <v>1</v>
      </c>
      <c r="B2" s="5" t="s">
        <v>7</v>
      </c>
      <c r="C2" s="4">
        <v>2.2860202013538915</v>
      </c>
      <c r="D2" s="6">
        <v>54166666.666665591</v>
      </c>
      <c r="E2" s="3">
        <v>123826094.24000072</v>
      </c>
      <c r="F2" s="7">
        <v>123826094.24000072</v>
      </c>
      <c r="G2" s="3">
        <v>0</v>
      </c>
    </row>
    <row r="3" spans="1:7" x14ac:dyDescent="0.35">
      <c r="A3" s="2">
        <v>2</v>
      </c>
      <c r="B3" s="5" t="s">
        <v>8</v>
      </c>
      <c r="C3" s="4">
        <v>0.639637767600018</v>
      </c>
      <c r="D3" s="6">
        <v>16666666.6666662</v>
      </c>
      <c r="E3" s="3">
        <v>10660629.459999993</v>
      </c>
      <c r="F3" s="7">
        <v>10660629.459999993</v>
      </c>
      <c r="G3" s="3">
        <v>0</v>
      </c>
    </row>
    <row r="4" spans="1:7" x14ac:dyDescent="0.35">
      <c r="A4" s="2">
        <v>3</v>
      </c>
      <c r="B4" s="5" t="s">
        <v>9</v>
      </c>
      <c r="C4" s="4">
        <v>0.52079148189474245</v>
      </c>
      <c r="D4" s="6">
        <v>79166666.666665807</v>
      </c>
      <c r="E4" s="3">
        <v>41229325.649999991</v>
      </c>
      <c r="F4" s="7">
        <v>41229325.649999991</v>
      </c>
      <c r="G4" s="3">
        <v>0</v>
      </c>
    </row>
    <row r="5" spans="1:7" x14ac:dyDescent="0.35">
      <c r="A5" s="2">
        <v>4</v>
      </c>
      <c r="B5" s="5" t="s">
        <v>10</v>
      </c>
      <c r="C5" s="4">
        <v>0.13657475911579028</v>
      </c>
      <c r="D5" s="6">
        <v>79166666.666666195</v>
      </c>
      <c r="E5" s="3">
        <v>10812168.430000007</v>
      </c>
      <c r="F5" s="7">
        <v>10812168.430000007</v>
      </c>
      <c r="G5" s="3">
        <v>0</v>
      </c>
    </row>
    <row r="6" spans="1:7" x14ac:dyDescent="0.35">
      <c r="A6" s="2">
        <v>5</v>
      </c>
      <c r="B6" s="5" t="s">
        <v>11</v>
      </c>
      <c r="C6" s="4">
        <v>0</v>
      </c>
      <c r="D6" s="6">
        <v>58333333.333329804</v>
      </c>
      <c r="E6" s="3">
        <v>0</v>
      </c>
      <c r="F6" s="7">
        <v>0</v>
      </c>
      <c r="G6" s="3">
        <v>0</v>
      </c>
    </row>
    <row r="7" spans="1:7" x14ac:dyDescent="0.35">
      <c r="A7" s="2">
        <v>6</v>
      </c>
      <c r="B7" s="5" t="s">
        <v>12</v>
      </c>
      <c r="C7" s="4">
        <v>0</v>
      </c>
      <c r="D7" s="6">
        <v>25000000.000000104</v>
      </c>
      <c r="E7" s="3">
        <v>0</v>
      </c>
      <c r="F7" s="7">
        <v>0</v>
      </c>
      <c r="G7" s="3">
        <v>0</v>
      </c>
    </row>
    <row r="8" spans="1:7" x14ac:dyDescent="0.35">
      <c r="A8" s="2">
        <v>7</v>
      </c>
      <c r="B8" s="5" t="s">
        <v>13</v>
      </c>
      <c r="C8" s="4">
        <v>0</v>
      </c>
      <c r="D8" s="6">
        <v>79166666.666666195</v>
      </c>
      <c r="E8" s="3">
        <v>0</v>
      </c>
      <c r="F8" s="7">
        <v>0</v>
      </c>
      <c r="G8" s="3">
        <v>0</v>
      </c>
    </row>
    <row r="9" spans="1:7" x14ac:dyDescent="0.35">
      <c r="A9" s="2">
        <v>8</v>
      </c>
      <c r="B9" s="5" t="s">
        <v>14</v>
      </c>
      <c r="C9" s="4"/>
      <c r="D9" s="6">
        <v>0</v>
      </c>
      <c r="E9" s="3">
        <v>0</v>
      </c>
      <c r="F9" s="7">
        <v>0</v>
      </c>
      <c r="G9" s="3">
        <v>0</v>
      </c>
    </row>
    <row r="10" spans="1:7" x14ac:dyDescent="0.35">
      <c r="A10" s="2">
        <v>9</v>
      </c>
      <c r="B10" s="5" t="s">
        <v>15</v>
      </c>
      <c r="C10" s="4"/>
      <c r="D10" s="6">
        <v>0</v>
      </c>
      <c r="E10" s="3">
        <v>0</v>
      </c>
      <c r="F10" s="7">
        <v>0</v>
      </c>
      <c r="G10" s="3">
        <v>0</v>
      </c>
    </row>
    <row r="11" spans="1:7" x14ac:dyDescent="0.35">
      <c r="A11" s="2">
        <v>10</v>
      </c>
      <c r="B11" t="s">
        <v>16</v>
      </c>
      <c r="D11">
        <v>0</v>
      </c>
      <c r="E11">
        <v>-112955.9999999993</v>
      </c>
      <c r="F11" s="7">
        <v>-112955.9999999993</v>
      </c>
      <c r="G11" s="3">
        <v>0</v>
      </c>
    </row>
    <row r="12" spans="1:7" x14ac:dyDescent="0.35">
      <c r="A12" s="2">
        <v>11</v>
      </c>
      <c r="B12" t="s">
        <v>17</v>
      </c>
      <c r="D12">
        <v>0</v>
      </c>
      <c r="E12">
        <v>0</v>
      </c>
      <c r="F12" s="7">
        <v>0</v>
      </c>
      <c r="G12" s="3">
        <v>0</v>
      </c>
    </row>
    <row r="13" spans="1:7" x14ac:dyDescent="0.35">
      <c r="B13" t="s">
        <v>18</v>
      </c>
      <c r="D13">
        <v>0</v>
      </c>
      <c r="E13">
        <v>67216.850000000093</v>
      </c>
      <c r="F13" s="7">
        <v>67216.850000000093</v>
      </c>
      <c r="G13" s="3">
        <v>0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>
      <selection activeCell="D2" sqref="D2"/>
    </sheetView>
  </sheetViews>
  <sheetFormatPr baseColWidth="10" defaultColWidth="9.1796875" defaultRowHeight="14.5" x14ac:dyDescent="0.35"/>
  <cols>
    <col min="1" max="1" width="41.26953125" bestFit="1" customWidth="1"/>
    <col min="2" max="2" width="17" customWidth="1"/>
    <col min="3" max="3" width="21.1796875" customWidth="1"/>
    <col min="4" max="4" width="20" customWidth="1"/>
    <col min="5" max="5" width="16.7265625" customWidth="1"/>
  </cols>
  <sheetData>
    <row r="1" spans="1:5" x14ac:dyDescent="0.35">
      <c r="A1" s="8" t="s">
        <v>19</v>
      </c>
      <c r="B1" s="8" t="s">
        <v>20</v>
      </c>
      <c r="C1" s="8" t="s">
        <v>3</v>
      </c>
      <c r="D1" s="8" t="s">
        <v>4</v>
      </c>
      <c r="E1" s="8" t="s">
        <v>21</v>
      </c>
    </row>
    <row r="2" spans="1:5" x14ac:dyDescent="0.35">
      <c r="A2" s="5" t="s">
        <v>8</v>
      </c>
      <c r="B2" s="4">
        <v>1.5840443821714993</v>
      </c>
      <c r="C2" s="6">
        <v>58333333.333330736</v>
      </c>
      <c r="D2" s="3">
        <v>92402588.959999919</v>
      </c>
      <c r="E2" s="7">
        <v>34069255.626669183</v>
      </c>
    </row>
    <row r="3" spans="1:5" x14ac:dyDescent="0.35">
      <c r="A3" s="5" t="s">
        <v>9</v>
      </c>
      <c r="B3" s="4">
        <v>0.75300711007896193</v>
      </c>
      <c r="C3" s="6">
        <v>506666666.66665697</v>
      </c>
      <c r="D3" s="3">
        <v>381523602.43999887</v>
      </c>
      <c r="E3" s="7">
        <v>-125143064.22665811</v>
      </c>
    </row>
    <row r="4" spans="1:5" x14ac:dyDescent="0.35">
      <c r="A4" s="5" t="s">
        <v>7</v>
      </c>
      <c r="B4" s="4">
        <v>0.55256861835578641</v>
      </c>
      <c r="C4" s="6">
        <v>346666666.66665584</v>
      </c>
      <c r="D4" s="3">
        <v>191557121.02999973</v>
      </c>
      <c r="E4" s="7">
        <v>-155109545.63665611</v>
      </c>
    </row>
    <row r="5" spans="1:5" x14ac:dyDescent="0.35">
      <c r="A5" s="5" t="s">
        <v>10</v>
      </c>
      <c r="B5" s="4">
        <v>0.3481822242631627</v>
      </c>
      <c r="C5" s="6">
        <v>506666666.66665971</v>
      </c>
      <c r="D5" s="3">
        <v>176412326.96000099</v>
      </c>
      <c r="E5" s="7">
        <v>-330254339.70665872</v>
      </c>
    </row>
    <row r="6" spans="1:5" x14ac:dyDescent="0.35">
      <c r="A6" s="5" t="s">
        <v>18</v>
      </c>
      <c r="B6" s="4">
        <v>0.2172699243703719</v>
      </c>
      <c r="C6" s="6">
        <v>134999999.99999905</v>
      </c>
      <c r="D6" s="3">
        <v>29331439.790000021</v>
      </c>
      <c r="E6" s="7">
        <v>-105668560.20999902</v>
      </c>
    </row>
    <row r="7" spans="1:5" x14ac:dyDescent="0.35">
      <c r="A7" s="5" t="s">
        <v>14</v>
      </c>
      <c r="B7" s="4">
        <v>0.21633626109805201</v>
      </c>
      <c r="C7" s="6">
        <v>127499999.99999247</v>
      </c>
      <c r="D7" s="3">
        <v>27582873.289999992</v>
      </c>
      <c r="E7" s="7">
        <v>-99917126.709992483</v>
      </c>
    </row>
    <row r="8" spans="1:5" x14ac:dyDescent="0.35">
      <c r="A8" s="5" t="s">
        <v>13</v>
      </c>
      <c r="B8" s="4">
        <v>0</v>
      </c>
      <c r="C8" s="6">
        <v>506666666.66665989</v>
      </c>
      <c r="D8" s="3">
        <v>0</v>
      </c>
      <c r="E8" s="7">
        <v>-506666666.66665989</v>
      </c>
    </row>
    <row r="9" spans="1:5" x14ac:dyDescent="0.35">
      <c r="A9" s="5" t="s">
        <v>15</v>
      </c>
      <c r="B9" s="4">
        <v>0</v>
      </c>
      <c r="C9" s="6">
        <v>28333333.333328031</v>
      </c>
      <c r="D9" s="3">
        <v>0</v>
      </c>
      <c r="E9" s="7">
        <v>-28333333.333328031</v>
      </c>
    </row>
    <row r="10" spans="1:5" x14ac:dyDescent="0.35">
      <c r="A10" s="5" t="s">
        <v>22</v>
      </c>
      <c r="B10" s="4"/>
      <c r="C10" s="6">
        <v>0</v>
      </c>
      <c r="D10" s="3">
        <v>4801100</v>
      </c>
      <c r="E10" s="7">
        <v>4801100</v>
      </c>
    </row>
    <row r="11" spans="1:5" x14ac:dyDescent="0.35">
      <c r="A11" s="5" t="s">
        <v>12</v>
      </c>
      <c r="B11" s="4">
        <v>0</v>
      </c>
      <c r="C11" s="6">
        <v>44999999.999995999</v>
      </c>
      <c r="D11" s="3">
        <v>0</v>
      </c>
      <c r="E11" s="7">
        <v>-44999999.999995999</v>
      </c>
    </row>
    <row r="12" spans="1:5" x14ac:dyDescent="0.35">
      <c r="A12" s="5" t="s">
        <v>23</v>
      </c>
      <c r="B12" s="4"/>
      <c r="C12" s="6">
        <v>0</v>
      </c>
      <c r="D12" s="3">
        <v>0</v>
      </c>
      <c r="E12" s="7">
        <v>0</v>
      </c>
    </row>
    <row r="13" spans="1:5" x14ac:dyDescent="0.35">
      <c r="A13" s="5" t="s">
        <v>24</v>
      </c>
      <c r="B13" s="4"/>
      <c r="C13" s="6">
        <v>0</v>
      </c>
      <c r="D13" s="3">
        <v>95628322.180000007</v>
      </c>
      <c r="E13" s="7">
        <v>95628322.180000007</v>
      </c>
    </row>
    <row r="14" spans="1:5" x14ac:dyDescent="0.35">
      <c r="A14" s="5" t="s">
        <v>16</v>
      </c>
      <c r="B14" s="4"/>
      <c r="C14" s="6">
        <v>0</v>
      </c>
      <c r="D14" s="3">
        <v>-112955.9999999993</v>
      </c>
      <c r="E14" s="7">
        <v>-112955.9999999993</v>
      </c>
    </row>
    <row r="15" spans="1:5" x14ac:dyDescent="0.35">
      <c r="A15" s="5" t="s">
        <v>11</v>
      </c>
      <c r="B15" s="4">
        <v>0</v>
      </c>
      <c r="C15" s="6">
        <v>245833333.3333151</v>
      </c>
      <c r="D15" s="3">
        <v>0</v>
      </c>
      <c r="E15" s="7">
        <v>-245833333.3333151</v>
      </c>
    </row>
    <row r="16" spans="1:5" x14ac:dyDescent="0.35">
      <c r="A16" s="5" t="s">
        <v>17</v>
      </c>
      <c r="B16" s="4"/>
      <c r="C16" s="6">
        <v>0</v>
      </c>
      <c r="D16" s="3">
        <v>0</v>
      </c>
      <c r="E16" s="7">
        <v>0</v>
      </c>
    </row>
    <row r="17" spans="1:5" x14ac:dyDescent="0.35">
      <c r="A17" s="5" t="s">
        <v>25</v>
      </c>
      <c r="B17" s="4"/>
      <c r="C17" s="6">
        <v>0</v>
      </c>
      <c r="D17" s="3">
        <v>9745638.3800000101</v>
      </c>
      <c r="E17" s="9">
        <v>9745638.3800000101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C28" sqref="C28"/>
    </sheetView>
  </sheetViews>
  <sheetFormatPr baseColWidth="10" defaultColWidth="11.453125" defaultRowHeight="14.5" x14ac:dyDescent="0.35"/>
  <cols>
    <col min="1" max="1" width="23.26953125" customWidth="1"/>
  </cols>
  <sheetData>
    <row r="1" spans="1:1" x14ac:dyDescent="0.35">
      <c r="A1" t="s">
        <v>26</v>
      </c>
    </row>
    <row r="2" spans="1:1" x14ac:dyDescent="0.35">
      <c r="A2" t="s">
        <v>27</v>
      </c>
    </row>
    <row r="3" spans="1:1" x14ac:dyDescent="0.35">
      <c r="A3" t="s">
        <v>28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K14"/>
  <sheetViews>
    <sheetView workbookViewId="0">
      <selection activeCell="E18" sqref="E18"/>
    </sheetView>
  </sheetViews>
  <sheetFormatPr baseColWidth="10" defaultColWidth="8.7265625" defaultRowHeight="14.5" x14ac:dyDescent="0.35"/>
  <cols>
    <col min="1" max="1" width="31.81640625" bestFit="1" customWidth="1"/>
    <col min="2" max="3" width="13.7265625" customWidth="1"/>
    <col min="4" max="4" width="10.81640625" customWidth="1"/>
    <col min="5" max="5" width="7.54296875" customWidth="1"/>
    <col min="6" max="7" width="13.7265625" bestFit="1" customWidth="1"/>
    <col min="8" max="8" width="12" bestFit="1" customWidth="1"/>
    <col min="9" max="9" width="8.54296875" bestFit="1" customWidth="1"/>
    <col min="10" max="10" width="13.26953125" bestFit="1" customWidth="1"/>
    <col min="11" max="11" width="10.7265625" bestFit="1" customWidth="1"/>
  </cols>
  <sheetData>
    <row r="1" spans="1:11" x14ac:dyDescent="0.35">
      <c r="A1" s="29"/>
      <c r="B1" s="34" t="s">
        <v>29</v>
      </c>
      <c r="C1" s="35"/>
      <c r="D1" s="35"/>
      <c r="E1" s="35"/>
      <c r="F1" s="34" t="s">
        <v>30</v>
      </c>
      <c r="G1" s="35"/>
      <c r="H1" s="35"/>
      <c r="I1" s="35"/>
      <c r="J1" s="31"/>
      <c r="K1" s="26"/>
    </row>
    <row r="2" spans="1:11" ht="29" x14ac:dyDescent="0.35">
      <c r="A2" s="29" t="s">
        <v>31</v>
      </c>
      <c r="B2" s="30" t="s">
        <v>32</v>
      </c>
      <c r="C2" s="30" t="s">
        <v>3</v>
      </c>
      <c r="D2" s="30" t="s">
        <v>4</v>
      </c>
      <c r="E2" s="30" t="s">
        <v>33</v>
      </c>
      <c r="F2" s="30" t="s">
        <v>32</v>
      </c>
      <c r="G2" s="30" t="s">
        <v>3</v>
      </c>
      <c r="H2" s="30" t="s">
        <v>4</v>
      </c>
      <c r="I2" s="30" t="s">
        <v>33</v>
      </c>
      <c r="J2" s="27" t="s">
        <v>34</v>
      </c>
      <c r="K2" s="28" t="s">
        <v>35</v>
      </c>
    </row>
    <row r="3" spans="1:11" x14ac:dyDescent="0.35">
      <c r="A3" s="11" t="s">
        <v>36</v>
      </c>
      <c r="B3" s="12"/>
      <c r="C3" s="12"/>
      <c r="D3" s="13"/>
      <c r="E3" s="14"/>
      <c r="F3" s="12"/>
      <c r="G3" s="12"/>
      <c r="H3" s="13"/>
      <c r="I3" s="14"/>
      <c r="J3" s="15"/>
      <c r="K3" s="16"/>
    </row>
    <row r="4" spans="1:11" x14ac:dyDescent="0.35">
      <c r="A4" s="17" t="s">
        <v>37</v>
      </c>
      <c r="B4" s="18">
        <v>32031200</v>
      </c>
      <c r="C4" s="18">
        <v>155554762.09087983</v>
      </c>
      <c r="D4" s="19">
        <v>17280945.280000001</v>
      </c>
      <c r="E4" s="32">
        <v>0.11109235775053898</v>
      </c>
      <c r="F4" s="18">
        <v>491317709.61000001</v>
      </c>
      <c r="G4" s="18">
        <v>178695483.03435776</v>
      </c>
      <c r="H4" s="19">
        <v>273840105.59000003</v>
      </c>
      <c r="I4" s="32">
        <v>1.5324399975871177</v>
      </c>
      <c r="J4" s="7">
        <f t="shared" ref="J4:J14" si="0">+H4-D4</f>
        <v>256559160.31000003</v>
      </c>
      <c r="K4" s="20">
        <f>+H4/D4-1</f>
        <v>14.846361478091552</v>
      </c>
    </row>
    <row r="5" spans="1:11" x14ac:dyDescent="0.35">
      <c r="A5" s="17" t="s">
        <v>38</v>
      </c>
      <c r="B5" s="18">
        <v>270753570.92000002</v>
      </c>
      <c r="C5" s="18">
        <v>98007249.257327542</v>
      </c>
      <c r="D5" s="19">
        <v>40519848.060000002</v>
      </c>
      <c r="E5" s="32">
        <v>0.41343725456074387</v>
      </c>
      <c r="F5" s="18">
        <v>152194527.36000001</v>
      </c>
      <c r="G5" s="18">
        <v>102390317.7004329</v>
      </c>
      <c r="H5" s="19">
        <v>26230565.129999995</v>
      </c>
      <c r="I5" s="32">
        <v>0.25618208556343902</v>
      </c>
      <c r="J5" s="7">
        <f t="shared" si="0"/>
        <v>-14289282.930000007</v>
      </c>
      <c r="K5" s="20">
        <f t="shared" ref="K5:K14" si="1">+H5/D5-1</f>
        <v>-0.35264897609786361</v>
      </c>
    </row>
    <row r="6" spans="1:11" x14ac:dyDescent="0.35">
      <c r="A6" s="17" t="s">
        <v>39</v>
      </c>
      <c r="B6" s="18">
        <v>28723460.379999999</v>
      </c>
      <c r="C6" s="18">
        <v>161643372.1596604</v>
      </c>
      <c r="D6" s="19">
        <v>12001091.959999999</v>
      </c>
      <c r="E6" s="32">
        <v>7.4244256350616919E-2</v>
      </c>
      <c r="F6" s="18">
        <v>35546402</v>
      </c>
      <c r="G6" s="18">
        <v>184248397.08953407</v>
      </c>
      <c r="H6" s="19">
        <v>15695338.329999998</v>
      </c>
      <c r="I6" s="32">
        <v>8.518575237521861E-2</v>
      </c>
      <c r="J6" s="7">
        <f t="shared" si="0"/>
        <v>3694246.3699999992</v>
      </c>
      <c r="K6" s="20">
        <f t="shared" si="1"/>
        <v>0.30782585304012611</v>
      </c>
    </row>
    <row r="7" spans="1:11" x14ac:dyDescent="0.35">
      <c r="A7" s="17" t="s">
        <v>40</v>
      </c>
      <c r="B7" s="18">
        <v>28375785.32</v>
      </c>
      <c r="C7" s="18">
        <v>99188993.120685354</v>
      </c>
      <c r="D7" s="19">
        <v>2894625.75</v>
      </c>
      <c r="E7" s="32">
        <v>2.9182933094986128E-2</v>
      </c>
      <c r="F7" s="18">
        <v>52154789.370000005</v>
      </c>
      <c r="G7" s="18">
        <v>106940998.48712452</v>
      </c>
      <c r="H7" s="19">
        <v>7902152.7400000095</v>
      </c>
      <c r="I7" s="32">
        <v>7.3892640351131592E-2</v>
      </c>
      <c r="J7" s="7">
        <f t="shared" si="0"/>
        <v>5007526.9900000095</v>
      </c>
      <c r="K7" s="20">
        <f t="shared" si="1"/>
        <v>1.7299393505360787</v>
      </c>
    </row>
    <row r="8" spans="1:11" x14ac:dyDescent="0.35">
      <c r="A8" s="17" t="s">
        <v>41</v>
      </c>
      <c r="B8" s="18">
        <v>117141234</v>
      </c>
      <c r="C8" s="18">
        <v>57501386.9996728</v>
      </c>
      <c r="D8" s="19">
        <v>19677900.039999992</v>
      </c>
      <c r="E8" s="32">
        <v>0.34221609367634859</v>
      </c>
      <c r="F8" s="18">
        <v>30396086</v>
      </c>
      <c r="G8" s="18">
        <v>85487789.064166516</v>
      </c>
      <c r="H8" s="19">
        <v>5420486</v>
      </c>
      <c r="I8" s="32">
        <v>6.3406552670714433E-2</v>
      </c>
      <c r="J8" s="7">
        <f t="shared" si="0"/>
        <v>-14257414.039999992</v>
      </c>
      <c r="K8" s="20">
        <f t="shared" si="1"/>
        <v>-0.72453940771212477</v>
      </c>
    </row>
    <row r="9" spans="1:11" x14ac:dyDescent="0.35">
      <c r="A9" s="17" t="s">
        <v>42</v>
      </c>
      <c r="B9" s="18">
        <v>0</v>
      </c>
      <c r="C9" s="18">
        <v>155554762.09087223</v>
      </c>
      <c r="D9" s="19">
        <v>0</v>
      </c>
      <c r="E9" s="32">
        <v>0</v>
      </c>
      <c r="F9" s="18">
        <v>8800000</v>
      </c>
      <c r="G9" s="18">
        <v>191697428.13917199</v>
      </c>
      <c r="H9" s="19">
        <v>4224000</v>
      </c>
      <c r="I9" s="32">
        <v>2.2034724414421374E-2</v>
      </c>
      <c r="J9" s="7">
        <f t="shared" si="0"/>
        <v>4224000</v>
      </c>
      <c r="K9" s="20" t="e">
        <f t="shared" si="1"/>
        <v>#DIV/0!</v>
      </c>
    </row>
    <row r="10" spans="1:11" x14ac:dyDescent="0.35">
      <c r="A10" s="17" t="s">
        <v>43</v>
      </c>
      <c r="B10" s="18">
        <v>1722908.62</v>
      </c>
      <c r="C10" s="18">
        <v>47463483.036268912</v>
      </c>
      <c r="D10" s="19">
        <v>441144.18000000017</v>
      </c>
      <c r="E10" s="32">
        <v>9.2943912199385473E-3</v>
      </c>
      <c r="F10" s="18">
        <v>0</v>
      </c>
      <c r="G10" s="18">
        <v>0</v>
      </c>
      <c r="H10" s="19">
        <v>0</v>
      </c>
      <c r="I10" s="32"/>
      <c r="J10" s="7">
        <f t="shared" si="0"/>
        <v>-441144.18000000017</v>
      </c>
      <c r="K10" s="20">
        <f t="shared" si="1"/>
        <v>-1</v>
      </c>
    </row>
    <row r="11" spans="1:11" x14ac:dyDescent="0.35">
      <c r="A11" s="17" t="s">
        <v>44</v>
      </c>
      <c r="B11" s="18">
        <v>0</v>
      </c>
      <c r="C11" s="18">
        <v>0</v>
      </c>
      <c r="D11" s="19">
        <v>0</v>
      </c>
      <c r="E11" s="32"/>
      <c r="F11" s="18">
        <v>0</v>
      </c>
      <c r="G11" s="18">
        <v>0</v>
      </c>
      <c r="H11" s="19">
        <v>0</v>
      </c>
      <c r="I11" s="32"/>
      <c r="J11" s="7">
        <f t="shared" si="0"/>
        <v>0</v>
      </c>
      <c r="K11" s="20" t="e">
        <f t="shared" si="1"/>
        <v>#DIV/0!</v>
      </c>
    </row>
    <row r="12" spans="1:11" x14ac:dyDescent="0.35">
      <c r="A12" s="17" t="s">
        <v>45</v>
      </c>
      <c r="B12" s="18">
        <v>29552</v>
      </c>
      <c r="C12" s="18">
        <v>0</v>
      </c>
      <c r="D12" s="19">
        <v>29552</v>
      </c>
      <c r="E12" s="32"/>
      <c r="F12" s="18"/>
      <c r="G12" s="18"/>
      <c r="H12" s="19"/>
      <c r="I12" s="32"/>
      <c r="J12" s="7">
        <f t="shared" si="0"/>
        <v>-29552</v>
      </c>
      <c r="K12" s="20">
        <f t="shared" si="1"/>
        <v>-1</v>
      </c>
    </row>
    <row r="13" spans="1:11" x14ac:dyDescent="0.35">
      <c r="A13" s="17" t="s">
        <v>46</v>
      </c>
      <c r="B13" s="18"/>
      <c r="C13" s="18"/>
      <c r="D13" s="19"/>
      <c r="E13" s="32"/>
      <c r="F13" s="18">
        <v>0</v>
      </c>
      <c r="G13" s="18">
        <v>22753403.933430597</v>
      </c>
      <c r="H13" s="19">
        <v>0</v>
      </c>
      <c r="I13" s="32">
        <v>0</v>
      </c>
      <c r="J13" s="7">
        <f t="shared" si="0"/>
        <v>0</v>
      </c>
      <c r="K13" s="20" t="e">
        <f t="shared" si="1"/>
        <v>#DIV/0!</v>
      </c>
    </row>
    <row r="14" spans="1:11" x14ac:dyDescent="0.35">
      <c r="A14" s="21" t="s">
        <v>47</v>
      </c>
      <c r="B14" s="22">
        <v>478777711.24000001</v>
      </c>
      <c r="C14" s="22">
        <v>774914008.75536704</v>
      </c>
      <c r="D14" s="23">
        <v>92845107.270000041</v>
      </c>
      <c r="E14" s="33">
        <v>0.11981343248539765</v>
      </c>
      <c r="F14" s="22">
        <v>770409514.34000003</v>
      </c>
      <c r="G14" s="22">
        <v>872213817.44821835</v>
      </c>
      <c r="H14" s="23">
        <v>333312647.79000002</v>
      </c>
      <c r="I14" s="33">
        <v>0.38214557155853374</v>
      </c>
      <c r="J14" s="24">
        <f t="shared" si="0"/>
        <v>240467540.51999998</v>
      </c>
      <c r="K14" s="25">
        <f t="shared" si="1"/>
        <v>2.5899861348719608</v>
      </c>
    </row>
  </sheetData>
  <mergeCells count="2">
    <mergeCell ref="B1:E1"/>
    <mergeCell ref="F1:I1"/>
  </mergeCells>
  <conditionalFormatting sqref="E4:E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L15"/>
  <sheetViews>
    <sheetView tabSelected="1" workbookViewId="0">
      <selection activeCell="A2" sqref="A2:L15"/>
    </sheetView>
  </sheetViews>
  <sheetFormatPr baseColWidth="10" defaultRowHeight="14.5" x14ac:dyDescent="0.35"/>
  <cols>
    <col min="1" max="1" width="29.54296875" bestFit="1" customWidth="1"/>
    <col min="2" max="2" width="19" bestFit="1" customWidth="1"/>
    <col min="3" max="3" width="12.36328125" bestFit="1" customWidth="1"/>
    <col min="4" max="4" width="9.90625" bestFit="1" customWidth="1"/>
    <col min="5" max="5" width="6.7265625" bestFit="1" customWidth="1"/>
    <col min="6" max="7" width="12.36328125" bestFit="1" customWidth="1"/>
    <col min="8" max="8" width="9.90625" bestFit="1" customWidth="1"/>
    <col min="9" max="9" width="7.7265625" bestFit="1" customWidth="1"/>
    <col min="10" max="10" width="11.54296875" bestFit="1" customWidth="1"/>
    <col min="11" max="11" width="9.36328125" bestFit="1" customWidth="1"/>
  </cols>
  <sheetData>
    <row r="1" spans="1:12" x14ac:dyDescent="0.35">
      <c r="A1" s="36"/>
      <c r="B1" s="36" t="s">
        <v>48</v>
      </c>
      <c r="C1" s="36"/>
      <c r="D1" s="36"/>
      <c r="E1" s="36"/>
      <c r="F1" s="36"/>
      <c r="G1" s="36"/>
      <c r="H1" s="36"/>
      <c r="I1" s="36"/>
      <c r="J1" s="39"/>
      <c r="K1" s="39"/>
      <c r="L1" s="39"/>
    </row>
    <row r="2" spans="1:12" x14ac:dyDescent="0.35">
      <c r="A2" s="36"/>
      <c r="B2" s="37" t="s">
        <v>29</v>
      </c>
      <c r="C2" s="38"/>
      <c r="D2" s="38"/>
      <c r="E2" s="38"/>
      <c r="F2" s="37" t="s">
        <v>30</v>
      </c>
      <c r="G2" s="38"/>
      <c r="H2" s="38"/>
      <c r="I2" s="38"/>
      <c r="J2" s="39"/>
      <c r="K2" s="39"/>
      <c r="L2" s="39"/>
    </row>
    <row r="3" spans="1:12" ht="29" x14ac:dyDescent="0.35">
      <c r="A3" s="36" t="s">
        <v>31</v>
      </c>
      <c r="B3" s="40" t="s">
        <v>32</v>
      </c>
      <c r="C3" s="40" t="s">
        <v>3</v>
      </c>
      <c r="D3" s="40" t="s">
        <v>4</v>
      </c>
      <c r="E3" s="40" t="s">
        <v>33</v>
      </c>
      <c r="F3" s="40" t="s">
        <v>32</v>
      </c>
      <c r="G3" s="40" t="s">
        <v>3</v>
      </c>
      <c r="H3" s="40" t="s">
        <v>4</v>
      </c>
      <c r="I3" s="40" t="s">
        <v>33</v>
      </c>
      <c r="J3" s="44" t="s">
        <v>34</v>
      </c>
      <c r="K3" s="45" t="s">
        <v>35</v>
      </c>
      <c r="L3" s="45" t="s">
        <v>49</v>
      </c>
    </row>
    <row r="4" spans="1:12" x14ac:dyDescent="0.35">
      <c r="A4" s="54" t="s">
        <v>36</v>
      </c>
      <c r="B4" s="55"/>
      <c r="C4" s="55"/>
      <c r="D4" s="56"/>
      <c r="E4" s="60"/>
      <c r="F4" s="55"/>
      <c r="G4" s="55"/>
      <c r="H4" s="56"/>
      <c r="I4" s="60"/>
      <c r="J4" s="57"/>
      <c r="K4" s="58"/>
      <c r="L4" s="58"/>
    </row>
    <row r="5" spans="1:12" x14ac:dyDescent="0.35">
      <c r="A5" s="47" t="s">
        <v>39</v>
      </c>
      <c r="B5" s="41">
        <v>739925955.98999989</v>
      </c>
      <c r="C5" s="41">
        <v>116712575.07946891</v>
      </c>
      <c r="D5" s="43">
        <v>52240926.689999819</v>
      </c>
      <c r="E5" s="42">
        <v>0.44760323944895797</v>
      </c>
      <c r="F5" s="41">
        <v>293567149.97000003</v>
      </c>
      <c r="G5" s="41">
        <v>91800842.878753603</v>
      </c>
      <c r="H5" s="43">
        <v>30823146.090000033</v>
      </c>
      <c r="I5" s="42">
        <v>0.335761035775127</v>
      </c>
      <c r="J5" s="46">
        <v>-21417780.599999785</v>
      </c>
      <c r="K5" s="48">
        <v>-0.40998087049821935</v>
      </c>
      <c r="L5" s="48">
        <v>0.57402412453272655</v>
      </c>
    </row>
    <row r="6" spans="1:12" x14ac:dyDescent="0.35">
      <c r="A6" s="47" t="s">
        <v>42</v>
      </c>
      <c r="B6" s="41">
        <v>225036765.16000003</v>
      </c>
      <c r="C6" s="41">
        <v>96089866.55070281</v>
      </c>
      <c r="D6" s="43">
        <v>17941257.580000043</v>
      </c>
      <c r="E6" s="42">
        <v>0.18671331560787535</v>
      </c>
      <c r="F6" s="41">
        <v>144640230.25</v>
      </c>
      <c r="G6" s="41">
        <v>83577281.896116406</v>
      </c>
      <c r="H6" s="43">
        <v>13594203.789999992</v>
      </c>
      <c r="I6" s="42">
        <v>0.16265429410467203</v>
      </c>
      <c r="J6" s="46">
        <v>-4347053.7900000513</v>
      </c>
      <c r="K6" s="48">
        <v>-0.2422937060357416</v>
      </c>
      <c r="L6" s="48">
        <v>0.25316691899292787</v>
      </c>
    </row>
    <row r="7" spans="1:12" x14ac:dyDescent="0.35">
      <c r="A7" s="47" t="s">
        <v>38</v>
      </c>
      <c r="B7" s="41">
        <v>2577961.44</v>
      </c>
      <c r="C7" s="41">
        <v>48743897.797445603</v>
      </c>
      <c r="D7" s="43">
        <v>176020.43999999994</v>
      </c>
      <c r="E7" s="42">
        <v>3.6111277093893845E-3</v>
      </c>
      <c r="F7" s="41">
        <v>36181684.129999995</v>
      </c>
      <c r="G7" s="41">
        <v>50069339.384766802</v>
      </c>
      <c r="H7" s="43">
        <v>6397684.1299999952</v>
      </c>
      <c r="I7" s="42">
        <v>0.12777648374458972</v>
      </c>
      <c r="J7" s="46">
        <v>6221663.6899999958</v>
      </c>
      <c r="K7" s="48">
        <v>35.346256889256715</v>
      </c>
      <c r="L7" s="48">
        <v>0.11914504187979735</v>
      </c>
    </row>
    <row r="8" spans="1:12" x14ac:dyDescent="0.35">
      <c r="A8" s="47" t="s">
        <v>41</v>
      </c>
      <c r="B8" s="41">
        <v>286279133.75999999</v>
      </c>
      <c r="C8" s="41">
        <v>32570651.823400989</v>
      </c>
      <c r="D8" s="43">
        <v>6463298.4300000072</v>
      </c>
      <c r="E8" s="42">
        <v>0.19843933320844145</v>
      </c>
      <c r="F8" s="41">
        <v>11296680</v>
      </c>
      <c r="G8" s="41">
        <v>36043152.510621198</v>
      </c>
      <c r="H8" s="43">
        <v>1920440</v>
      </c>
      <c r="I8" s="42">
        <v>5.3281687816682646E-2</v>
      </c>
      <c r="J8" s="46">
        <v>-4542858.4300000072</v>
      </c>
      <c r="K8" s="48">
        <v>-0.70286997872694579</v>
      </c>
      <c r="L8" s="48">
        <v>3.5764645390149667E-2</v>
      </c>
    </row>
    <row r="9" spans="1:12" x14ac:dyDescent="0.35">
      <c r="A9" s="47" t="s">
        <v>46</v>
      </c>
      <c r="B9" s="41"/>
      <c r="C9" s="41"/>
      <c r="D9" s="43"/>
      <c r="E9" s="42"/>
      <c r="F9" s="41">
        <v>0</v>
      </c>
      <c r="G9" s="41">
        <v>3555219.3645986998</v>
      </c>
      <c r="H9" s="43">
        <v>0</v>
      </c>
      <c r="I9" s="42">
        <v>0</v>
      </c>
      <c r="J9" s="46">
        <v>0</v>
      </c>
      <c r="K9" s="48" t="e">
        <v>#DIV/0!</v>
      </c>
      <c r="L9" s="48">
        <v>0</v>
      </c>
    </row>
    <row r="10" spans="1:12" x14ac:dyDescent="0.35">
      <c r="A10" s="47" t="s">
        <v>45</v>
      </c>
      <c r="B10" s="41">
        <v>885906</v>
      </c>
      <c r="C10" s="41">
        <v>0</v>
      </c>
      <c r="D10" s="43">
        <v>118905</v>
      </c>
      <c r="E10" s="42"/>
      <c r="F10" s="41"/>
      <c r="G10" s="41"/>
      <c r="H10" s="43"/>
      <c r="I10" s="42"/>
      <c r="J10" s="46">
        <v>-118905</v>
      </c>
      <c r="K10" s="48">
        <v>-1</v>
      </c>
      <c r="L10" s="48">
        <v>0</v>
      </c>
    </row>
    <row r="11" spans="1:12" x14ac:dyDescent="0.35">
      <c r="A11" s="47" t="s">
        <v>37</v>
      </c>
      <c r="B11" s="41">
        <v>0</v>
      </c>
      <c r="C11" s="41">
        <v>24949068.102458403</v>
      </c>
      <c r="D11" s="43">
        <v>0</v>
      </c>
      <c r="E11" s="42">
        <v>0</v>
      </c>
      <c r="F11" s="41">
        <v>0</v>
      </c>
      <c r="G11" s="41">
        <v>75417206.973561406</v>
      </c>
      <c r="H11" s="43">
        <v>0</v>
      </c>
      <c r="I11" s="42">
        <v>0</v>
      </c>
      <c r="J11" s="46">
        <v>0</v>
      </c>
      <c r="K11" s="48" t="e">
        <v>#DIV/0!</v>
      </c>
      <c r="L11" s="48">
        <v>0</v>
      </c>
    </row>
    <row r="12" spans="1:12" x14ac:dyDescent="0.35">
      <c r="A12" s="47" t="s">
        <v>43</v>
      </c>
      <c r="B12" s="41">
        <v>0</v>
      </c>
      <c r="C12" s="41">
        <v>7612558.1418069005</v>
      </c>
      <c r="D12" s="43">
        <v>0</v>
      </c>
      <c r="E12" s="42">
        <v>0</v>
      </c>
      <c r="F12" s="41">
        <v>0</v>
      </c>
      <c r="G12" s="41">
        <v>0</v>
      </c>
      <c r="H12" s="43">
        <v>0</v>
      </c>
      <c r="I12" s="42"/>
      <c r="J12" s="46">
        <v>0</v>
      </c>
      <c r="K12" s="48" t="e">
        <v>#DIV/0!</v>
      </c>
      <c r="L12" s="48">
        <v>0</v>
      </c>
    </row>
    <row r="13" spans="1:12" x14ac:dyDescent="0.35">
      <c r="A13" s="47" t="s">
        <v>44</v>
      </c>
      <c r="B13" s="41">
        <v>15020000</v>
      </c>
      <c r="C13" s="41">
        <v>35954356.238271199</v>
      </c>
      <c r="D13" s="43">
        <v>2334000</v>
      </c>
      <c r="E13" s="42">
        <v>6.4915638720728946E-2</v>
      </c>
      <c r="F13" s="41">
        <v>0</v>
      </c>
      <c r="G13" s="41">
        <v>34494092.644621998</v>
      </c>
      <c r="H13" s="43">
        <v>0</v>
      </c>
      <c r="I13" s="42">
        <v>0</v>
      </c>
      <c r="J13" s="46">
        <v>-2334000</v>
      </c>
      <c r="K13" s="48">
        <v>-1</v>
      </c>
      <c r="L13" s="48">
        <v>0</v>
      </c>
    </row>
    <row r="14" spans="1:12" x14ac:dyDescent="0.35">
      <c r="A14" s="47" t="s">
        <v>40</v>
      </c>
      <c r="B14" s="41">
        <v>4378709.21</v>
      </c>
      <c r="C14" s="41">
        <v>15908692.933081001</v>
      </c>
      <c r="D14" s="43">
        <v>551390.83999999985</v>
      </c>
      <c r="E14" s="42">
        <v>3.4659719834897428E-2</v>
      </c>
      <c r="F14" s="41">
        <v>5870410.8700000001</v>
      </c>
      <c r="G14" s="41">
        <v>16709531.013613399</v>
      </c>
      <c r="H14" s="43">
        <v>961129.96999999974</v>
      </c>
      <c r="I14" s="42">
        <v>5.7519865112728726E-2</v>
      </c>
      <c r="J14" s="46">
        <v>409739.12999999989</v>
      </c>
      <c r="K14" s="48">
        <v>0.74310108234659833</v>
      </c>
      <c r="L14" s="48">
        <v>1.7899269204398563E-2</v>
      </c>
    </row>
    <row r="15" spans="1:12" x14ac:dyDescent="0.35">
      <c r="A15" s="49" t="s">
        <v>47</v>
      </c>
      <c r="B15" s="50">
        <v>1274104431.5599999</v>
      </c>
      <c r="C15" s="50">
        <v>378541666.66663581</v>
      </c>
      <c r="D15" s="51">
        <v>79825798.980000019</v>
      </c>
      <c r="E15" s="59">
        <v>0.21087717947387521</v>
      </c>
      <c r="F15" s="50">
        <v>491556155.22000003</v>
      </c>
      <c r="G15" s="50">
        <v>391666666.66665351</v>
      </c>
      <c r="H15" s="51">
        <v>53696603.980000019</v>
      </c>
      <c r="I15" s="59">
        <v>0.13709771228936629</v>
      </c>
      <c r="J15" s="52">
        <v>-26129195</v>
      </c>
      <c r="K15" s="53">
        <v>-0.32732769773524656</v>
      </c>
      <c r="L15" s="53">
        <v>1</v>
      </c>
    </row>
  </sheetData>
  <mergeCells count="2">
    <mergeCell ref="B2:E2"/>
    <mergeCell ref="F2:I2"/>
  </mergeCells>
  <conditionalFormatting sqref="E4:E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Copa Copilot</vt:lpstr>
      <vt:lpstr>Actividad Semanal</vt:lpstr>
      <vt:lpstr>Estados</vt:lpstr>
      <vt:lpstr>Dominios Acumulado</vt:lpstr>
      <vt:lpstr>Dominio Mes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2026-08-03T20:04:42Z</dcterms:modified>
  <cp:category/>
  <cp:contentStatus/>
</cp:coreProperties>
</file>