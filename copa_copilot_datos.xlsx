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349" documentId="11_7B0F6A10CFB5B9B3AED9E795B9A4719BFA1CF949" xr6:coauthVersionLast="47" xr6:coauthVersionMax="47" xr10:uidLastSave="{6A2A0663-6B70-44AF-A760-048A485CAE6F}"/>
  <bookViews>
    <workbookView minimized="1" xWindow="24" yWindow="24" windowWidth="23016" windowHeight="12216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E1" i="2"/>
  <c r="D1" i="2"/>
  <c r="C1" i="2"/>
  <c r="B1" i="2"/>
</calcChain>
</file>

<file path=xl/sharedStrings.xml><?xml version="1.0" encoding="utf-8"?>
<sst xmlns="http://schemas.openxmlformats.org/spreadsheetml/2006/main" count="25" uniqueCount="25">
  <si>
    <t>Pos</t>
  </si>
  <si>
    <t>En Carrera</t>
  </si>
  <si>
    <t>Semana</t>
  </si>
  <si>
    <t>Semana 1</t>
  </si>
  <si>
    <t>Semana 2</t>
  </si>
  <si>
    <t>Semana 3</t>
  </si>
  <si>
    <t>Clasificado</t>
  </si>
  <si>
    <t>Comercial</t>
  </si>
  <si>
    <t>Cuota</t>
  </si>
  <si>
    <t>Valle de la oportunidad</t>
  </si>
  <si>
    <t>ECHEVERRY SANDRA</t>
  </si>
  <si>
    <t>RODRIGUEZ CONTRERAS JENIFFER LORENA</t>
  </si>
  <si>
    <t>ESPINOSA ORTIZ DEISON FERNANDO</t>
  </si>
  <si>
    <t>MENDOZA SALAZAR ROMY VALENTINA</t>
  </si>
  <si>
    <t>NN OCCIDE_SMC_001 1</t>
  </si>
  <si>
    <t>COLLAZOS PRIETO JUAN FELIPE</t>
  </si>
  <si>
    <t>NN OCCIDE_SMC_001 2</t>
  </si>
  <si>
    <t>NN OCCIDE_CORPO_001 2</t>
  </si>
  <si>
    <t>CORREA CORPUS WILLIAM ERNESTO</t>
  </si>
  <si>
    <t>NN OCCIDE_ENTER_001</t>
  </si>
  <si>
    <t>CHARRY OCHOA VIVIANA ANDREA</t>
  </si>
  <si>
    <t>% de cumplimiento</t>
  </si>
  <si>
    <t>Utilidad Bruta</t>
  </si>
  <si>
    <t>Compromiso</t>
  </si>
  <si>
    <t>Falta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</si>
</sst>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\ #,##0;[Red]\-&quot;$&quot;\ #,##0"/>
  </numFmts>
  <fonts count="10" x14ac:knownFonts="1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b/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2"/>
      <color rgb="FFFFD7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rgb="FFD9E082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FFEB84"/>
        <bgColor indexed="64"/>
      </patternFill>
    </fill>
    <fill>
      <patternFill patternType="solid">
        <fgColor rgb="FFF8696B"/>
        <bgColor indexed="64"/>
      </patternFill>
    </fill>
  </fills>
  <borders count="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6" fontId="7" fillId="0" borderId="0" xfId="0" applyNumberFormat="1" applyFont="1" applyAlignment="1">
      <alignment horizontal="right" vertical="center"/>
    </xf>
    <xf numFmtId="10" fontId="7" fillId="3" borderId="0" xfId="0" applyNumberFormat="1" applyFont="1" applyFill="1" applyAlignment="1">
      <alignment horizontal="right" vertical="center"/>
    </xf>
    <xf numFmtId="10" fontId="7" fillId="4" borderId="0" xfId="0" applyNumberFormat="1" applyFont="1" applyFill="1" applyAlignment="1">
      <alignment horizontal="right" vertical="center"/>
    </xf>
    <xf numFmtId="0" fontId="5" fillId="0" borderId="0" xfId="0" applyFont="1"/>
    <xf numFmtId="10" fontId="7" fillId="5" borderId="0" xfId="0" applyNumberFormat="1" applyFont="1" applyFill="1" applyAlignment="1">
      <alignment horizontal="right" vertical="center"/>
    </xf>
    <xf numFmtId="6" fontId="8" fillId="0" borderId="0" xfId="0" applyNumberFormat="1" applyFont="1" applyAlignment="1">
      <alignment horizontal="right" vertical="center"/>
    </xf>
    <xf numFmtId="10" fontId="7" fillId="6" borderId="0" xfId="0" applyNumberFormat="1" applyFont="1" applyFill="1" applyAlignment="1">
      <alignment horizontal="right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B3" sqref="B3"/>
    </sheetView>
  </sheetViews>
  <sheetFormatPr baseColWidth="10" defaultColWidth="9.109375" defaultRowHeight="14.4" x14ac:dyDescent="0.3"/>
  <cols>
    <col min="1" max="1" width="6" customWidth="1"/>
    <col min="2" max="2" width="36.88671875" bestFit="1" customWidth="1"/>
    <col min="3" max="3" width="19.109375" bestFit="1" customWidth="1"/>
    <col min="4" max="4" width="11.5546875" bestFit="1" customWidth="1"/>
    <col min="5" max="5" width="14.109375" bestFit="1" customWidth="1"/>
    <col min="6" max="6" width="12.5546875" bestFit="1" customWidth="1"/>
    <col min="7" max="7" width="13.21875" bestFit="1" customWidth="1"/>
  </cols>
  <sheetData>
    <row r="1" spans="1:7" ht="15.6" x14ac:dyDescent="0.3">
      <c r="A1" s="1" t="s">
        <v>0</v>
      </c>
      <c r="B1" s="1" t="s">
        <v>7</v>
      </c>
      <c r="C1" s="13" t="s">
        <v>21</v>
      </c>
      <c r="D1" s="13" t="s">
        <v>8</v>
      </c>
      <c r="E1" s="13" t="s">
        <v>22</v>
      </c>
      <c r="F1" s="13" t="s">
        <v>23</v>
      </c>
      <c r="G1" s="14" t="s">
        <v>24</v>
      </c>
    </row>
    <row r="2" spans="1:7" x14ac:dyDescent="0.3">
      <c r="A2" s="4">
        <v>1</v>
      </c>
      <c r="B2" s="5" t="s">
        <v>10</v>
      </c>
      <c r="C2" s="7">
        <v>8.5900000000000004E-2</v>
      </c>
      <c r="D2" s="6">
        <v>79166667</v>
      </c>
      <c r="E2" s="6">
        <v>6796610</v>
      </c>
      <c r="F2" s="6">
        <v>12900000</v>
      </c>
      <c r="G2" s="11">
        <v>-6103390</v>
      </c>
    </row>
    <row r="3" spans="1:7" x14ac:dyDescent="0.3">
      <c r="A3" s="4">
        <v>2</v>
      </c>
      <c r="B3" s="5" t="s">
        <v>11</v>
      </c>
      <c r="C3" s="8">
        <v>0.3478</v>
      </c>
      <c r="D3" s="6">
        <v>16666667</v>
      </c>
      <c r="E3" s="6">
        <v>5797076</v>
      </c>
      <c r="F3" s="6">
        <v>6400000</v>
      </c>
      <c r="G3" s="11">
        <v>-602924</v>
      </c>
    </row>
    <row r="4" spans="1:7" x14ac:dyDescent="0.3">
      <c r="A4" s="4">
        <v>3</v>
      </c>
      <c r="B4" s="5" t="s">
        <v>12</v>
      </c>
      <c r="C4" s="9"/>
      <c r="D4" s="6">
        <v>0</v>
      </c>
      <c r="E4" s="6">
        <v>67217</v>
      </c>
      <c r="F4" s="6">
        <v>67217</v>
      </c>
      <c r="G4" s="6">
        <v>0</v>
      </c>
    </row>
    <row r="5" spans="1:7" x14ac:dyDescent="0.3">
      <c r="A5" s="4">
        <v>4</v>
      </c>
      <c r="B5" s="5" t="s">
        <v>13</v>
      </c>
      <c r="C5" s="10">
        <v>2.9999999999999997E-4</v>
      </c>
      <c r="D5" s="6">
        <v>79166667</v>
      </c>
      <c r="E5" s="6">
        <v>26868</v>
      </c>
      <c r="F5" s="6">
        <v>30259000</v>
      </c>
      <c r="G5" s="11">
        <v>-30232132</v>
      </c>
    </row>
    <row r="6" spans="1:7" x14ac:dyDescent="0.3">
      <c r="A6" s="4">
        <v>5</v>
      </c>
      <c r="B6" s="5" t="s">
        <v>14</v>
      </c>
      <c r="C6" s="12">
        <v>0</v>
      </c>
      <c r="D6" s="6">
        <v>25000000</v>
      </c>
      <c r="E6" s="6">
        <v>0</v>
      </c>
      <c r="F6" s="6">
        <v>0</v>
      </c>
      <c r="G6" s="6">
        <v>0</v>
      </c>
    </row>
    <row r="7" spans="1:7" x14ac:dyDescent="0.3">
      <c r="A7" s="4">
        <v>6</v>
      </c>
      <c r="B7" s="5" t="s">
        <v>15</v>
      </c>
      <c r="C7" s="9"/>
      <c r="D7" s="6">
        <v>0</v>
      </c>
      <c r="E7" s="6">
        <v>0</v>
      </c>
      <c r="F7" s="6">
        <v>0</v>
      </c>
      <c r="G7" s="6">
        <v>0</v>
      </c>
    </row>
    <row r="8" spans="1:7" x14ac:dyDescent="0.3">
      <c r="A8" s="4">
        <v>7</v>
      </c>
      <c r="B8" s="5" t="s">
        <v>16</v>
      </c>
      <c r="C8" s="9"/>
      <c r="D8" s="6">
        <v>0</v>
      </c>
      <c r="E8" s="6">
        <v>0</v>
      </c>
      <c r="F8" s="6">
        <v>0</v>
      </c>
      <c r="G8" s="6">
        <v>0</v>
      </c>
    </row>
    <row r="9" spans="1:7" x14ac:dyDescent="0.3">
      <c r="A9" s="4">
        <v>8</v>
      </c>
      <c r="B9" s="5" t="s">
        <v>17</v>
      </c>
      <c r="C9" s="12">
        <v>0</v>
      </c>
      <c r="D9" s="6">
        <v>58333333</v>
      </c>
      <c r="E9" s="6">
        <v>0</v>
      </c>
      <c r="F9" s="6">
        <v>0</v>
      </c>
      <c r="G9" s="6">
        <v>0</v>
      </c>
    </row>
    <row r="10" spans="1:7" x14ac:dyDescent="0.3">
      <c r="A10" s="4">
        <v>9</v>
      </c>
      <c r="B10" s="5" t="s">
        <v>18</v>
      </c>
      <c r="C10" s="12">
        <v>0</v>
      </c>
      <c r="D10" s="6">
        <v>54166667</v>
      </c>
      <c r="E10" s="6">
        <v>0</v>
      </c>
      <c r="F10" s="6">
        <v>129000000</v>
      </c>
      <c r="G10" s="11">
        <v>-129000000</v>
      </c>
    </row>
    <row r="11" spans="1:7" x14ac:dyDescent="0.3">
      <c r="A11" s="4">
        <v>10</v>
      </c>
      <c r="B11" s="5" t="s">
        <v>19</v>
      </c>
      <c r="C11" s="12">
        <v>0</v>
      </c>
      <c r="D11" s="6">
        <v>79166667</v>
      </c>
      <c r="E11" s="6">
        <v>0</v>
      </c>
      <c r="F11" s="6">
        <v>0</v>
      </c>
      <c r="G11" s="6">
        <v>0</v>
      </c>
    </row>
    <row r="12" spans="1:7" x14ac:dyDescent="0.3">
      <c r="A12" s="4">
        <v>11</v>
      </c>
      <c r="B12" s="5" t="s">
        <v>20</v>
      </c>
      <c r="C12" s="9"/>
      <c r="D12" s="6">
        <v>0</v>
      </c>
      <c r="E12" s="11">
        <v>-112956</v>
      </c>
      <c r="F12" s="6">
        <v>0</v>
      </c>
      <c r="G12" s="11">
        <v>-112956</v>
      </c>
    </row>
  </sheetData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D20" sqref="D20"/>
    </sheetView>
  </sheetViews>
  <sheetFormatPr baseColWidth="10" defaultColWidth="9.109375" defaultRowHeight="14.4" x14ac:dyDescent="0.3"/>
  <cols>
    <col min="1" max="1" width="10.5546875" customWidth="1"/>
    <col min="2" max="2" width="15.44140625" bestFit="1" customWidth="1"/>
    <col min="3" max="3" width="14.88671875" bestFit="1" customWidth="1"/>
    <col min="4" max="5" width="17.109375" bestFit="1" customWidth="1"/>
    <col min="6" max="6" width="7" bestFit="1" customWidth="1"/>
  </cols>
  <sheetData>
    <row r="1" spans="1:6" ht="15.6" x14ac:dyDescent="0.3">
      <c r="A1" s="1" t="s">
        <v>2</v>
      </c>
      <c r="B1" s="1" t="str">
        <f>'Copa Copilot'!B2</f>
        <v>ECHEVERRY SANDRA</v>
      </c>
      <c r="C1" s="1" t="str">
        <f>'Copa Copilot'!B3</f>
        <v>RODRIGUEZ CONTRERAS JENIFFER LORENA</v>
      </c>
      <c r="D1" s="1" t="str">
        <f>'Copa Copilot'!B4</f>
        <v>ESPINOSA ORTIZ DEISON FERNANDO</v>
      </c>
      <c r="E1" s="1" t="str">
        <f>'Copa Copilot'!B5</f>
        <v>MENDOZA SALAZAR ROMY VALENTINA</v>
      </c>
      <c r="F1" s="1" t="e">
        <f>'Copa Copilot'!#REF!</f>
        <v>#REF!</v>
      </c>
    </row>
    <row r="2" spans="1:6" x14ac:dyDescent="0.3">
      <c r="A2" s="2" t="s">
        <v>3</v>
      </c>
      <c r="B2" s="2">
        <v>0</v>
      </c>
      <c r="C2" s="2">
        <v>0</v>
      </c>
      <c r="D2" s="2">
        <v>0</v>
      </c>
      <c r="E2" s="2">
        <v>0</v>
      </c>
      <c r="F2" s="2">
        <v>0</v>
      </c>
    </row>
    <row r="3" spans="1:6" x14ac:dyDescent="0.3">
      <c r="A3" s="2" t="s">
        <v>4</v>
      </c>
      <c r="B3" s="2"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2" t="s">
        <v>5</v>
      </c>
      <c r="B4" s="2">
        <v>0</v>
      </c>
      <c r="C4" s="2">
        <v>0</v>
      </c>
      <c r="D4" s="2">
        <v>0</v>
      </c>
      <c r="E4" s="2">
        <v>0</v>
      </c>
      <c r="F4" s="2">
        <v>0</v>
      </c>
    </row>
    <row r="8" spans="1:6" x14ac:dyDescent="0.3">
      <c r="D8" s="3"/>
    </row>
  </sheetData>
  <phoneticPr fontId="4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A7" sqref="A7"/>
    </sheetView>
  </sheetViews>
  <sheetFormatPr baseColWidth="10" defaultRowHeight="14.4" x14ac:dyDescent="0.3"/>
  <cols>
    <col min="1" max="1" width="19.88671875" bestFit="1" customWidth="1"/>
  </cols>
  <sheetData>
    <row r="1" spans="1:1" x14ac:dyDescent="0.3">
      <c r="A1" t="s">
        <v>6</v>
      </c>
    </row>
    <row r="2" spans="1:1" x14ac:dyDescent="0.3">
      <c r="A2" t="s">
        <v>1</v>
      </c>
    </row>
    <row r="3" spans="1:1" x14ac:dyDescent="0.3">
      <c r="A3" t="s">
        <v>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Copa Copilot</vt:lpstr>
      <vt:lpstr>Actividad Semanal</vt:lpstr>
      <vt:lpstr>Estados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Andres Arango Materon</cp:lastModifiedBy>
  <dcterms:created xsi:type="dcterms:W3CDTF">2026-05-26T20:06:50Z</dcterms:created>
  <dcterms:modified xsi:type="dcterms:W3CDTF">2026-07-22T17:24:42Z</dcterms:modified>
</cp:coreProperties>
</file>