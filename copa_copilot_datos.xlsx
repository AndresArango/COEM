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409" documentId="11_7B0F6A10CFB5B9B3AED9E795B9A4719BFA1CF949" xr6:coauthVersionLast="47" xr6:coauthVersionMax="47" xr10:uidLastSave="{6C087213-8B4B-4E89-BFC6-85113B3735C4}"/>
  <bookViews>
    <workbookView xWindow="-108" yWindow="-108" windowWidth="23256" windowHeight="1245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E2" i="2"/>
  <c r="E3" i="2"/>
  <c r="E4" i="2"/>
  <c r="E5" i="2"/>
  <c r="E6" i="2"/>
  <c r="E17" i="2" s="1"/>
  <c r="E7" i="2"/>
  <c r="E8" i="2"/>
  <c r="E9" i="2"/>
  <c r="E10" i="2"/>
  <c r="E11" i="2"/>
  <c r="E12" i="2"/>
  <c r="E13" i="2"/>
  <c r="E14" i="2"/>
  <c r="E15" i="2"/>
  <c r="E16" i="2"/>
  <c r="G3" i="1"/>
  <c r="G4" i="1"/>
  <c r="G5" i="1"/>
  <c r="G6" i="1"/>
  <c r="G7" i="1"/>
  <c r="G8" i="1"/>
  <c r="G9" i="1"/>
  <c r="G10" i="1"/>
</calcChain>
</file>

<file path=xl/sharedStrings.xml><?xml version="1.0" encoding="utf-8"?>
<sst xmlns="http://schemas.openxmlformats.org/spreadsheetml/2006/main" count="40" uniqueCount="31">
  <si>
    <t>Pos</t>
  </si>
  <si>
    <t>En Carrera</t>
  </si>
  <si>
    <t>Clasificado</t>
  </si>
  <si>
    <t>Comercial</t>
  </si>
  <si>
    <t>Cuota</t>
  </si>
  <si>
    <t>Valle de la oportunidad</t>
  </si>
  <si>
    <t>ECHEVERRY SANDRA</t>
  </si>
  <si>
    <t>RODRIGUEZ CONTRERAS JENIFFER LORENA</t>
  </si>
  <si>
    <t>ESPINOSA ORTIZ DEISON FERNANDO</t>
  </si>
  <si>
    <t>MENDOZA SALAZAR ROMY VALENTINA</t>
  </si>
  <si>
    <t>NN OCCIDE_SMC_001 1</t>
  </si>
  <si>
    <t>COLLAZOS PRIETO JUAN FELIPE</t>
  </si>
  <si>
    <t>NN OCCIDE_SMC_001 2</t>
  </si>
  <si>
    <t>NN OCCIDE_CORPO_001 2</t>
  </si>
  <si>
    <t>CORREA CORPUS WILLIAM ERNESTO</t>
  </si>
  <si>
    <t>NN OCCIDE_ENTER_001</t>
  </si>
  <si>
    <t>CHARRY OCHOA VIVIANA ANDREA</t>
  </si>
  <si>
    <t>% de cumplimiento</t>
  </si>
  <si>
    <t>Utilidad Bruta</t>
  </si>
  <si>
    <t>Compromiso</t>
  </si>
  <si>
    <t>Falta</t>
  </si>
  <si>
    <t>NN OCCIDE_ENTER_001 1</t>
  </si>
  <si>
    <t>NN OCCIDE_CORPO_001 1</t>
  </si>
  <si>
    <t>Vendedor</t>
  </si>
  <si>
    <t>% Cump</t>
  </si>
  <si>
    <t>DIRECTOS CALI DIRECTOS CALI</t>
  </si>
  <si>
    <t>SOTO FERNANDO</t>
  </si>
  <si>
    <t>LOZANO GARCIA JULIO ERNESTO</t>
  </si>
  <si>
    <t>VALERO VELA LUZ EDIT</t>
  </si>
  <si>
    <t>Gap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</si>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</sst>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169" formatCode="&quot;$&quot;#,##0"/>
    <numFmt numFmtId="170" formatCode="&quot;$&quot;#,##0;[Red]\-&quot;$&quot;#,##0"/>
  </numFmts>
  <fonts count="7" x14ac:knownFonts="1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FFD700"/>
      <name val="Calibri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6" fontId="0" fillId="0" borderId="0" xfId="0" applyNumberFormat="1"/>
    <xf numFmtId="10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9" fontId="0" fillId="0" borderId="0" xfId="0" applyNumberFormat="1"/>
    <xf numFmtId="170" fontId="0" fillId="0" borderId="0" xfId="0" applyNumberFormat="1"/>
    <xf numFmtId="0" fontId="6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/>
    </xf>
    <xf numFmtId="10" fontId="3" fillId="4" borderId="0" xfId="0" applyNumberFormat="1" applyFont="1" applyFill="1"/>
    <xf numFmtId="169" fontId="3" fillId="4" borderId="0" xfId="0" applyNumberFormat="1" applyFont="1" applyFill="1"/>
    <xf numFmtId="6" fontId="3" fillId="4" borderId="0" xfId="0" applyNumberFormat="1" applyFont="1" applyFill="1"/>
    <xf numFmtId="170" fontId="6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H11" sqref="H11"/>
    </sheetView>
  </sheetViews>
  <sheetFormatPr baseColWidth="10" defaultColWidth="9.109375" defaultRowHeight="14.4" x14ac:dyDescent="0.3"/>
  <cols>
    <col min="1" max="1" width="6" customWidth="1"/>
    <col min="2" max="2" width="36.88671875" bestFit="1" customWidth="1"/>
    <col min="3" max="3" width="19.109375" bestFit="1" customWidth="1"/>
    <col min="4" max="4" width="11.5546875" bestFit="1" customWidth="1"/>
    <col min="5" max="5" width="14.109375" bestFit="1" customWidth="1"/>
    <col min="6" max="6" width="13.33203125" bestFit="1" customWidth="1"/>
    <col min="7" max="7" width="12.5546875" bestFit="1" customWidth="1"/>
  </cols>
  <sheetData>
    <row r="1" spans="1:7" ht="15.6" x14ac:dyDescent="0.3">
      <c r="A1" s="1" t="s">
        <v>0</v>
      </c>
      <c r="B1" s="1" t="s">
        <v>3</v>
      </c>
      <c r="C1" s="5" t="s">
        <v>17</v>
      </c>
      <c r="D1" s="5" t="s">
        <v>4</v>
      </c>
      <c r="E1" s="5" t="s">
        <v>18</v>
      </c>
      <c r="F1" s="5" t="s">
        <v>19</v>
      </c>
      <c r="G1" s="6" t="s">
        <v>20</v>
      </c>
    </row>
    <row r="2" spans="1:7" x14ac:dyDescent="0.3">
      <c r="A2" s="2">
        <v>1</v>
      </c>
      <c r="B2" s="7" t="s">
        <v>7</v>
      </c>
      <c r="C2" s="4">
        <v>0.42515786460001193</v>
      </c>
      <c r="D2" s="8">
        <v>16666666.666666199</v>
      </c>
      <c r="E2" s="3">
        <v>7085964.4100000039</v>
      </c>
      <c r="F2" s="3">
        <v>7500000</v>
      </c>
      <c r="G2" s="3">
        <f>+F2-E2</f>
        <v>414035.58999999613</v>
      </c>
    </row>
    <row r="3" spans="1:7" x14ac:dyDescent="0.3">
      <c r="A3" s="2">
        <v>2</v>
      </c>
      <c r="B3" s="7" t="s">
        <v>6</v>
      </c>
      <c r="C3" s="4">
        <v>0.13657475911579028</v>
      </c>
      <c r="D3" s="8">
        <v>79166666.666666195</v>
      </c>
      <c r="E3" s="3">
        <v>10812168.430000007</v>
      </c>
      <c r="F3" s="3">
        <v>10812168.43</v>
      </c>
      <c r="G3" s="3">
        <f>+F3-E3</f>
        <v>0</v>
      </c>
    </row>
    <row r="4" spans="1:7" x14ac:dyDescent="0.3">
      <c r="A4" s="2">
        <v>3</v>
      </c>
      <c r="B4" s="7" t="s">
        <v>9</v>
      </c>
      <c r="C4" s="4">
        <v>9.0843144252632818E-2</v>
      </c>
      <c r="D4" s="8">
        <v>79166666.666665599</v>
      </c>
      <c r="E4" s="3">
        <v>7191748.9199999943</v>
      </c>
      <c r="F4" s="3">
        <v>35000000</v>
      </c>
      <c r="G4" s="3">
        <f>+F4-E4</f>
        <v>27808251.080000006</v>
      </c>
    </row>
    <row r="5" spans="1:7" x14ac:dyDescent="0.3">
      <c r="A5" s="2">
        <v>4</v>
      </c>
      <c r="B5" s="7" t="s">
        <v>14</v>
      </c>
      <c r="C5" s="4">
        <v>8.4914693538463218E-2</v>
      </c>
      <c r="D5" s="8">
        <v>54166666.666665591</v>
      </c>
      <c r="E5" s="3">
        <v>4599545.900000006</v>
      </c>
      <c r="F5" s="3">
        <v>119500000</v>
      </c>
      <c r="G5" s="3">
        <f>+F5-E5</f>
        <v>114900454.09999999</v>
      </c>
    </row>
    <row r="6" spans="1:7" x14ac:dyDescent="0.3">
      <c r="A6" s="2">
        <v>5</v>
      </c>
      <c r="B6" s="7" t="s">
        <v>10</v>
      </c>
      <c r="C6" s="4">
        <v>0</v>
      </c>
      <c r="D6" s="8">
        <v>25000000.000000101</v>
      </c>
      <c r="E6" s="3">
        <v>0</v>
      </c>
      <c r="F6" s="3">
        <v>0</v>
      </c>
      <c r="G6" s="3">
        <f>+F6-E6</f>
        <v>0</v>
      </c>
    </row>
    <row r="7" spans="1:7" x14ac:dyDescent="0.3">
      <c r="A7" s="2">
        <v>6</v>
      </c>
      <c r="B7" s="7" t="s">
        <v>21</v>
      </c>
      <c r="C7" s="4">
        <v>0</v>
      </c>
      <c r="D7" s="8">
        <v>79166666.666666195</v>
      </c>
      <c r="E7" s="3">
        <v>0</v>
      </c>
      <c r="F7" s="3">
        <v>0</v>
      </c>
      <c r="G7" s="3">
        <f>+F7-E7</f>
        <v>0</v>
      </c>
    </row>
    <row r="8" spans="1:7" x14ac:dyDescent="0.3">
      <c r="A8" s="2">
        <v>7</v>
      </c>
      <c r="B8" s="7" t="s">
        <v>8</v>
      </c>
      <c r="C8" s="4"/>
      <c r="D8" s="8">
        <v>0</v>
      </c>
      <c r="E8" s="3">
        <v>67216.850000000093</v>
      </c>
      <c r="F8" s="3">
        <v>67216.850000000006</v>
      </c>
      <c r="G8" s="3">
        <f>+F8-E8</f>
        <v>0</v>
      </c>
    </row>
    <row r="9" spans="1:7" x14ac:dyDescent="0.3">
      <c r="A9" s="2">
        <v>8</v>
      </c>
      <c r="B9" s="7" t="s">
        <v>16</v>
      </c>
      <c r="C9" s="4"/>
      <c r="D9" s="8">
        <v>0</v>
      </c>
      <c r="E9" s="3">
        <v>-112955.9999999993</v>
      </c>
      <c r="F9" s="3">
        <v>-112956</v>
      </c>
      <c r="G9" s="3">
        <f>+F9-E9</f>
        <v>-6.9849193096160889E-10</v>
      </c>
    </row>
    <row r="10" spans="1:7" x14ac:dyDescent="0.3">
      <c r="A10" s="2">
        <v>9</v>
      </c>
      <c r="B10" s="7" t="s">
        <v>22</v>
      </c>
      <c r="C10" s="4">
        <v>0</v>
      </c>
      <c r="D10" s="8">
        <v>58333333.333329812</v>
      </c>
      <c r="E10" s="3">
        <v>0</v>
      </c>
      <c r="F10" s="3">
        <v>0</v>
      </c>
      <c r="G10" s="3">
        <f>+F10-E10</f>
        <v>0</v>
      </c>
    </row>
    <row r="11" spans="1:7" x14ac:dyDescent="0.3">
      <c r="G11" s="3"/>
    </row>
    <row r="12" spans="1:7" x14ac:dyDescent="0.3">
      <c r="G12" s="3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selection activeCell="E17" sqref="E17"/>
    </sheetView>
  </sheetViews>
  <sheetFormatPr baseColWidth="10" defaultColWidth="9.109375" defaultRowHeight="14.4" x14ac:dyDescent="0.3"/>
  <cols>
    <col min="1" max="1" width="41.33203125" bestFit="1" customWidth="1"/>
    <col min="2" max="2" width="17" customWidth="1"/>
    <col min="3" max="3" width="21.109375" customWidth="1"/>
    <col min="4" max="4" width="20" customWidth="1"/>
    <col min="5" max="5" width="14.33203125" bestFit="1" customWidth="1"/>
  </cols>
  <sheetData>
    <row r="1" spans="1:5" x14ac:dyDescent="0.3">
      <c r="A1" s="10" t="s">
        <v>23</v>
      </c>
      <c r="B1" s="10" t="s">
        <v>24</v>
      </c>
      <c r="C1" s="10" t="s">
        <v>4</v>
      </c>
      <c r="D1" s="10" t="s">
        <v>18</v>
      </c>
      <c r="E1" s="10" t="s">
        <v>29</v>
      </c>
    </row>
    <row r="2" spans="1:5" x14ac:dyDescent="0.3">
      <c r="A2" s="7" t="s">
        <v>7</v>
      </c>
      <c r="B2" s="4">
        <v>1.5227644098857831</v>
      </c>
      <c r="C2" s="8">
        <v>58333333.333330713</v>
      </c>
      <c r="D2" s="3">
        <v>88827923.909999967</v>
      </c>
      <c r="E2" s="9">
        <f>+D2-C2</f>
        <v>30494590.576669253</v>
      </c>
    </row>
    <row r="3" spans="1:5" x14ac:dyDescent="0.3">
      <c r="A3" s="7" t="s">
        <v>9</v>
      </c>
      <c r="B3" s="4">
        <v>0.68582768232238245</v>
      </c>
      <c r="C3" s="8">
        <v>506666666.66665643</v>
      </c>
      <c r="D3" s="3">
        <v>347486025.70999908</v>
      </c>
      <c r="E3" s="9">
        <f>+D3-C3</f>
        <v>-159180640.95665735</v>
      </c>
    </row>
    <row r="4" spans="1:5" x14ac:dyDescent="0.3">
      <c r="A4" s="7" t="s">
        <v>6</v>
      </c>
      <c r="B4" s="4">
        <v>0.34818222426316264</v>
      </c>
      <c r="C4" s="8">
        <v>506666666.66665989</v>
      </c>
      <c r="D4" s="3">
        <v>176412326.96000004</v>
      </c>
      <c r="E4" s="9">
        <f>+D4-C4</f>
        <v>-330254339.70665985</v>
      </c>
    </row>
    <row r="5" spans="1:5" x14ac:dyDescent="0.3">
      <c r="A5" s="7" t="s">
        <v>8</v>
      </c>
      <c r="B5" s="4">
        <v>0.21726992437037176</v>
      </c>
      <c r="C5" s="8">
        <v>134999999.99999911</v>
      </c>
      <c r="D5" s="3">
        <v>29331439.789999962</v>
      </c>
      <c r="E5" s="9">
        <f>+D5-C5</f>
        <v>-105668560.20999914</v>
      </c>
    </row>
    <row r="6" spans="1:5" x14ac:dyDescent="0.3">
      <c r="A6" s="7" t="s">
        <v>11</v>
      </c>
      <c r="B6" s="4">
        <v>0.21633626109805196</v>
      </c>
      <c r="C6" s="8">
        <v>127499999.99999246</v>
      </c>
      <c r="D6" s="3">
        <v>27582873.289999902</v>
      </c>
      <c r="E6" s="9">
        <f>+D6-C6</f>
        <v>-99917126.709992558</v>
      </c>
    </row>
    <row r="7" spans="1:5" x14ac:dyDescent="0.3">
      <c r="A7" s="7" t="s">
        <v>14</v>
      </c>
      <c r="B7" s="4">
        <v>0.20864588275962204</v>
      </c>
      <c r="C7" s="8">
        <v>346666666.66665554</v>
      </c>
      <c r="D7" s="3">
        <v>72330572.6899997</v>
      </c>
      <c r="E7" s="9">
        <f>+D7-C7</f>
        <v>-274336093.97665584</v>
      </c>
    </row>
    <row r="8" spans="1:5" x14ac:dyDescent="0.3">
      <c r="A8" s="7" t="s">
        <v>10</v>
      </c>
      <c r="B8" s="4">
        <v>0</v>
      </c>
      <c r="C8" s="8">
        <v>44999999.999995984</v>
      </c>
      <c r="D8" s="3">
        <v>0</v>
      </c>
      <c r="E8" s="9">
        <f>+D8-C8</f>
        <v>-44999999.999995984</v>
      </c>
    </row>
    <row r="9" spans="1:5" x14ac:dyDescent="0.3">
      <c r="A9" s="7" t="s">
        <v>15</v>
      </c>
      <c r="B9" s="4">
        <v>0</v>
      </c>
      <c r="C9" s="8">
        <v>506666666.66665959</v>
      </c>
      <c r="D9" s="3">
        <v>0</v>
      </c>
      <c r="E9" s="9">
        <f>+D9-C9</f>
        <v>-506666666.66665959</v>
      </c>
    </row>
    <row r="10" spans="1:5" x14ac:dyDescent="0.3">
      <c r="A10" s="7" t="s">
        <v>12</v>
      </c>
      <c r="B10" s="4">
        <v>0</v>
      </c>
      <c r="C10" s="8">
        <v>28333333.333328005</v>
      </c>
      <c r="D10" s="3">
        <v>0</v>
      </c>
      <c r="E10" s="9">
        <f>+D10-C10</f>
        <v>-28333333.333328005</v>
      </c>
    </row>
    <row r="11" spans="1:5" x14ac:dyDescent="0.3">
      <c r="A11" s="7" t="s">
        <v>25</v>
      </c>
      <c r="B11" s="4"/>
      <c r="C11" s="8">
        <v>0</v>
      </c>
      <c r="D11" s="3">
        <v>95628322.180000007</v>
      </c>
      <c r="E11" s="9">
        <f>+D11-C11</f>
        <v>95628322.180000007</v>
      </c>
    </row>
    <row r="12" spans="1:5" x14ac:dyDescent="0.3">
      <c r="A12" s="7" t="s">
        <v>26</v>
      </c>
      <c r="B12" s="4"/>
      <c r="C12" s="8">
        <v>0</v>
      </c>
      <c r="D12" s="3">
        <v>4801100</v>
      </c>
      <c r="E12" s="9">
        <f>+D12-C12</f>
        <v>4801100</v>
      </c>
    </row>
    <row r="13" spans="1:5" x14ac:dyDescent="0.3">
      <c r="A13" s="7" t="s">
        <v>27</v>
      </c>
      <c r="B13" s="4"/>
      <c r="C13" s="8">
        <v>0</v>
      </c>
      <c r="D13" s="3">
        <v>9745638.3800000101</v>
      </c>
      <c r="E13" s="9">
        <f>+D13-C13</f>
        <v>9745638.3800000101</v>
      </c>
    </row>
    <row r="14" spans="1:5" x14ac:dyDescent="0.3">
      <c r="A14" s="7" t="s">
        <v>28</v>
      </c>
      <c r="B14" s="4"/>
      <c r="C14" s="8">
        <v>0</v>
      </c>
      <c r="D14" s="3">
        <v>0</v>
      </c>
      <c r="E14" s="9">
        <f>+D14-C14</f>
        <v>0</v>
      </c>
    </row>
    <row r="15" spans="1:5" x14ac:dyDescent="0.3">
      <c r="A15" s="7" t="s">
        <v>16</v>
      </c>
      <c r="B15" s="4"/>
      <c r="C15" s="8">
        <v>0</v>
      </c>
      <c r="D15" s="3">
        <v>-112955.9999999993</v>
      </c>
      <c r="E15" s="9">
        <f>+D15-C15</f>
        <v>-112955.9999999993</v>
      </c>
    </row>
    <row r="16" spans="1:5" x14ac:dyDescent="0.3">
      <c r="A16" s="7" t="s">
        <v>13</v>
      </c>
      <c r="B16" s="4">
        <v>0</v>
      </c>
      <c r="C16" s="8">
        <v>245833333.33331507</v>
      </c>
      <c r="D16" s="3">
        <v>0</v>
      </c>
      <c r="E16" s="9">
        <f>+D16-C16</f>
        <v>-245833333.33331507</v>
      </c>
    </row>
    <row r="17" spans="1:5" x14ac:dyDescent="0.3">
      <c r="A17" s="11" t="s">
        <v>30</v>
      </c>
      <c r="B17" s="12">
        <v>0.33990688839495686</v>
      </c>
      <c r="C17" s="13">
        <v>2506666666.6665926</v>
      </c>
      <c r="D17" s="14">
        <v>852033266.90999889</v>
      </c>
      <c r="E17" s="15">
        <f>+SUM(E2:E16)</f>
        <v>-1654633399.7565939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baseColWidth="10" defaultRowHeight="14.4" x14ac:dyDescent="0.3"/>
  <cols>
    <col min="1" max="1" width="23.33203125" customWidth="1"/>
  </cols>
  <sheetData>
    <row r="1" spans="1:1" x14ac:dyDescent="0.3">
      <c r="A1" t="s">
        <v>2</v>
      </c>
    </row>
    <row r="2" spans="1:1" x14ac:dyDescent="0.3">
      <c r="A2" t="s">
        <v>1</v>
      </c>
    </row>
    <row r="3" spans="1:1" x14ac:dyDescent="0.3">
      <c r="A3" t="s"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Copa Copilot</vt:lpstr>
      <vt:lpstr>Actividad Semanal</vt:lpstr>
      <vt:lpstr>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Andres Arango Materon</cp:lastModifiedBy>
  <dcterms:created xsi:type="dcterms:W3CDTF">2026-05-26T20:06:50Z</dcterms:created>
  <dcterms:modified xsi:type="dcterms:W3CDTF">2026-07-29T21:14:00Z</dcterms:modified>
</cp:coreProperties>
</file>